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Raw_data" sheetId="1" r:id="rId1"/>
    <sheet name="Analysis" sheetId="2" r:id="rId2"/>
    <sheet name="Dashboard" sheetId="3" r:id="rId3"/>
  </sheets>
  <calcPr calcId="124519"/>
</workbook>
</file>

<file path=xl/calcChain.xml><?xml version="1.0" encoding="utf-8"?>
<calcChain xmlns="http://schemas.openxmlformats.org/spreadsheetml/2006/main">
  <c r="B10" i="2"/>
  <c r="B11"/>
  <c r="B12"/>
  <c r="B13"/>
  <c r="B14"/>
  <c r="E26"/>
  <c r="E27"/>
  <c r="E28"/>
  <c r="E25"/>
  <c r="B26"/>
  <c r="B27"/>
  <c r="B25"/>
  <c r="E19"/>
  <c r="E18"/>
  <c r="B19"/>
  <c r="B20"/>
  <c r="B21"/>
  <c r="B18"/>
  <c r="E11"/>
  <c r="E12"/>
  <c r="E13"/>
  <c r="E14"/>
  <c r="E10"/>
  <c r="B6"/>
  <c r="J4" i="3" s="1"/>
  <c r="B3" i="2"/>
  <c r="A4" i="3" s="1"/>
  <c r="B4" i="2"/>
  <c r="D4" i="3" s="1"/>
  <c r="B5" i="2"/>
  <c r="G4" i="3" s="1"/>
</calcChain>
</file>

<file path=xl/sharedStrings.xml><?xml version="1.0" encoding="utf-8"?>
<sst xmlns="http://schemas.openxmlformats.org/spreadsheetml/2006/main" count="699" uniqueCount="244">
  <si>
    <t>Order_ID</t>
  </si>
  <si>
    <t>Order_Date</t>
  </si>
  <si>
    <t>Customer_ID</t>
  </si>
  <si>
    <t>Customer_Type</t>
  </si>
  <si>
    <t>Region</t>
  </si>
  <si>
    <t>Category</t>
  </si>
  <si>
    <t>Product</t>
  </si>
  <si>
    <t>Quantity</t>
  </si>
  <si>
    <t>Unit_Price</t>
  </si>
  <si>
    <t>Discount</t>
  </si>
  <si>
    <t>Sales</t>
  </si>
  <si>
    <t>Profit</t>
  </si>
  <si>
    <t>Payment_Method</t>
  </si>
  <si>
    <t>Order_Status</t>
  </si>
  <si>
    <t>NX1001</t>
  </si>
  <si>
    <t>C101</t>
  </si>
  <si>
    <t>New</t>
  </si>
  <si>
    <t>North</t>
  </si>
  <si>
    <t>Electronics</t>
  </si>
  <si>
    <t>Wireless Earbuds</t>
  </si>
  <si>
    <t>UPI</t>
  </si>
  <si>
    <t>Delivered</t>
  </si>
  <si>
    <t>NX1002</t>
  </si>
  <si>
    <t>C102</t>
  </si>
  <si>
    <t>Returning</t>
  </si>
  <si>
    <t>West</t>
  </si>
  <si>
    <t>Home</t>
  </si>
  <si>
    <t>Ceramic Coffee Mug Set</t>
  </si>
  <si>
    <t>Card</t>
  </si>
  <si>
    <t>NX1003</t>
  </si>
  <si>
    <t>C103</t>
  </si>
  <si>
    <t>South</t>
  </si>
  <si>
    <t>Fashion</t>
  </si>
  <si>
    <t>Cotton Oversized T-Shirt</t>
  </si>
  <si>
    <t>NX1004</t>
  </si>
  <si>
    <t>C104</t>
  </si>
  <si>
    <t>East</t>
  </si>
  <si>
    <t>Beauty</t>
  </si>
  <si>
    <t>Skin Care Gift Box</t>
  </si>
  <si>
    <t>Wallet</t>
  </si>
  <si>
    <t>NX1005</t>
  </si>
  <si>
    <t>C105</t>
  </si>
  <si>
    <t>Sports</t>
  </si>
  <si>
    <t>Yoga Mat Pro</t>
  </si>
  <si>
    <t>COD</t>
  </si>
  <si>
    <t>NX1006</t>
  </si>
  <si>
    <t>C106</t>
  </si>
  <si>
    <t>Smart Watch Lite</t>
  </si>
  <si>
    <t>NX1007</t>
  </si>
  <si>
    <t>C107</t>
  </si>
  <si>
    <t>LED Desk Lamp</t>
  </si>
  <si>
    <t>NX1008</t>
  </si>
  <si>
    <t>C108</t>
  </si>
  <si>
    <t>Everyday Sneakers</t>
  </si>
  <si>
    <t>Returned</t>
  </si>
  <si>
    <t>NX1009</t>
  </si>
  <si>
    <t>C109</t>
  </si>
  <si>
    <t>Vitamin C Serum</t>
  </si>
  <si>
    <t>NX1010</t>
  </si>
  <si>
    <t>C110</t>
  </si>
  <si>
    <t>Portable Bluetooth Speaker</t>
  </si>
  <si>
    <t>NX1011</t>
  </si>
  <si>
    <t>C111</t>
  </si>
  <si>
    <t>Storage Organizer Set</t>
  </si>
  <si>
    <t>NX1012</t>
  </si>
  <si>
    <t>C112</t>
  </si>
  <si>
    <t>Resistance Band Kit</t>
  </si>
  <si>
    <t>NX1013</t>
  </si>
  <si>
    <t>C113</t>
  </si>
  <si>
    <t>Denim Jacket</t>
  </si>
  <si>
    <t>NX1014</t>
  </si>
  <si>
    <t>C114</t>
  </si>
  <si>
    <t>Hair Care Kit</t>
  </si>
  <si>
    <t>NX1015</t>
  </si>
  <si>
    <t>C115</t>
  </si>
  <si>
    <t>Mechanical Keyboard</t>
  </si>
  <si>
    <t>Cancelled</t>
  </si>
  <si>
    <t>NX1016</t>
  </si>
  <si>
    <t>C116</t>
  </si>
  <si>
    <t>Non-Stick Cookware Set</t>
  </si>
  <si>
    <t>NX1017</t>
  </si>
  <si>
    <t>C117</t>
  </si>
  <si>
    <t>Adjustable Dumbbells</t>
  </si>
  <si>
    <t>NX1018</t>
  </si>
  <si>
    <t>C118</t>
  </si>
  <si>
    <t>Casual Backpack</t>
  </si>
  <si>
    <t>NX1019</t>
  </si>
  <si>
    <t>C119</t>
  </si>
  <si>
    <t>Perfume Set</t>
  </si>
  <si>
    <t>NX1020</t>
  </si>
  <si>
    <t>C120</t>
  </si>
  <si>
    <t>USB-C Power Bank</t>
  </si>
  <si>
    <t>NX1021</t>
  </si>
  <si>
    <t>C121</t>
  </si>
  <si>
    <t>Bamboo Bedsheet Set</t>
  </si>
  <si>
    <t>NX1022</t>
  </si>
  <si>
    <t>C122</t>
  </si>
  <si>
    <t>Running Shoes</t>
  </si>
  <si>
    <t>NX1023</t>
  </si>
  <si>
    <t>C123</t>
  </si>
  <si>
    <t>Linen Shirt</t>
  </si>
  <si>
    <t>NX1024</t>
  </si>
  <si>
    <t>C124</t>
  </si>
  <si>
    <t>Face Moisturizer</t>
  </si>
  <si>
    <t>NX1025</t>
  </si>
  <si>
    <t>C125</t>
  </si>
  <si>
    <t>Wireless Keyboard Mouse Combo</t>
  </si>
  <si>
    <t>NX1026</t>
  </si>
  <si>
    <t>C126</t>
  </si>
  <si>
    <t>Electric Kettle</t>
  </si>
  <si>
    <t>NX1027</t>
  </si>
  <si>
    <t>C127</t>
  </si>
  <si>
    <t>Smart Fitness Band</t>
  </si>
  <si>
    <t>NX1028</t>
  </si>
  <si>
    <t>C128</t>
  </si>
  <si>
    <t>Minimalist Tote Bag</t>
  </si>
  <si>
    <t>NX1029</t>
  </si>
  <si>
    <t>C129</t>
  </si>
  <si>
    <t>Makeup Brush Set</t>
  </si>
  <si>
    <t>NX1030</t>
  </si>
  <si>
    <t>C130</t>
  </si>
  <si>
    <t>Noise Cancelling Headphones</t>
  </si>
  <si>
    <t>NX1031</t>
  </si>
  <si>
    <t>C131</t>
  </si>
  <si>
    <t>Air Fryer</t>
  </si>
  <si>
    <t>NX1032</t>
  </si>
  <si>
    <t>C132</t>
  </si>
  <si>
    <t>Home Workout Bench</t>
  </si>
  <si>
    <t>NX1033</t>
  </si>
  <si>
    <t>C133</t>
  </si>
  <si>
    <t>Formal Trousers</t>
  </si>
  <si>
    <t>NX1034</t>
  </si>
  <si>
    <t>C134</t>
  </si>
  <si>
    <t>Hair Straightener</t>
  </si>
  <si>
    <t>NX1035</t>
  </si>
  <si>
    <t>C135</t>
  </si>
  <si>
    <t>Tablet Stand</t>
  </si>
  <si>
    <t>NX1036</t>
  </si>
  <si>
    <t>C136</t>
  </si>
  <si>
    <t>Wall Decor Set</t>
  </si>
  <si>
    <t>NX1037</t>
  </si>
  <si>
    <t>C137</t>
  </si>
  <si>
    <t>Skipping Rope</t>
  </si>
  <si>
    <t>NX1038</t>
  </si>
  <si>
    <t>C138</t>
  </si>
  <si>
    <t>NX1039</t>
  </si>
  <si>
    <t>C139</t>
  </si>
  <si>
    <t>Body Care Set</t>
  </si>
  <si>
    <t>NX1040</t>
  </si>
  <si>
    <t>C140</t>
  </si>
  <si>
    <t>NX1041</t>
  </si>
  <si>
    <t>C141</t>
  </si>
  <si>
    <t>NX1042</t>
  </si>
  <si>
    <t>C142</t>
  </si>
  <si>
    <t>NX1043</t>
  </si>
  <si>
    <t>C143</t>
  </si>
  <si>
    <t>NX1044</t>
  </si>
  <si>
    <t>C144</t>
  </si>
  <si>
    <t>NX1045</t>
  </si>
  <si>
    <t>C145</t>
  </si>
  <si>
    <t>NX1046</t>
  </si>
  <si>
    <t>C146</t>
  </si>
  <si>
    <t>NX1047</t>
  </si>
  <si>
    <t>C147</t>
  </si>
  <si>
    <t>NX1048</t>
  </si>
  <si>
    <t>C148</t>
  </si>
  <si>
    <t>NX1049</t>
  </si>
  <si>
    <t>C149</t>
  </si>
  <si>
    <t>NX1050</t>
  </si>
  <si>
    <t>C150</t>
  </si>
  <si>
    <t>NX1051</t>
  </si>
  <si>
    <t>C151</t>
  </si>
  <si>
    <t>NX1052</t>
  </si>
  <si>
    <t>C152</t>
  </si>
  <si>
    <t>NX1053</t>
  </si>
  <si>
    <t>C153</t>
  </si>
  <si>
    <t>NX1054</t>
  </si>
  <si>
    <t>C154</t>
  </si>
  <si>
    <t>NX1055</t>
  </si>
  <si>
    <t>C155</t>
  </si>
  <si>
    <t>NX1056</t>
  </si>
  <si>
    <t>C156</t>
  </si>
  <si>
    <t>NX1057</t>
  </si>
  <si>
    <t>C157</t>
  </si>
  <si>
    <t>NX1058</t>
  </si>
  <si>
    <t>C158</t>
  </si>
  <si>
    <t>NX1059</t>
  </si>
  <si>
    <t>C159</t>
  </si>
  <si>
    <t>NX1060</t>
  </si>
  <si>
    <t>C160</t>
  </si>
  <si>
    <t>NX1061</t>
  </si>
  <si>
    <t>C161</t>
  </si>
  <si>
    <t>NX1062</t>
  </si>
  <si>
    <t>C162</t>
  </si>
  <si>
    <t>NX1063</t>
  </si>
  <si>
    <t>C163</t>
  </si>
  <si>
    <t>NX1064</t>
  </si>
  <si>
    <t>C164</t>
  </si>
  <si>
    <t>NX1065</t>
  </si>
  <si>
    <t>C165</t>
  </si>
  <si>
    <t>NX1066</t>
  </si>
  <si>
    <t>C166</t>
  </si>
  <si>
    <t>NX1067</t>
  </si>
  <si>
    <t>C167</t>
  </si>
  <si>
    <t>NX1068</t>
  </si>
  <si>
    <t>C168</t>
  </si>
  <si>
    <t>NX1069</t>
  </si>
  <si>
    <t>C169</t>
  </si>
  <si>
    <t>NX1070</t>
  </si>
  <si>
    <t>C170</t>
  </si>
  <si>
    <t>NX1071</t>
  </si>
  <si>
    <t>C171</t>
  </si>
  <si>
    <t>NX1072</t>
  </si>
  <si>
    <t>C172</t>
  </si>
  <si>
    <t>NX1073</t>
  </si>
  <si>
    <t>C173</t>
  </si>
  <si>
    <t>NX1074</t>
  </si>
  <si>
    <t>C174</t>
  </si>
  <si>
    <t>NX1075</t>
  </si>
  <si>
    <t>C175</t>
  </si>
  <si>
    <t>NX1076</t>
  </si>
  <si>
    <t>C176</t>
  </si>
  <si>
    <t>NX1077</t>
  </si>
  <si>
    <t>C177</t>
  </si>
  <si>
    <t>NX1078</t>
  </si>
  <si>
    <t>C178</t>
  </si>
  <si>
    <t>NX1079</t>
  </si>
  <si>
    <t>C179</t>
  </si>
  <si>
    <t>NX1080</t>
  </si>
  <si>
    <t>C180</t>
  </si>
  <si>
    <t>Total sales</t>
  </si>
  <si>
    <t>Total Quantity sold</t>
  </si>
  <si>
    <t>Average Order Value</t>
  </si>
  <si>
    <t>Total profit</t>
  </si>
  <si>
    <t>Total Profit</t>
  </si>
  <si>
    <t>Customer Type</t>
  </si>
  <si>
    <t>Order status</t>
  </si>
  <si>
    <t>Number of orders</t>
  </si>
  <si>
    <t>Payment method</t>
  </si>
  <si>
    <t>No of orders</t>
  </si>
  <si>
    <t>Average order value</t>
  </si>
  <si>
    <t>Units sold</t>
  </si>
  <si>
    <t>Sohacart sales dashboard</t>
  </si>
  <si>
    <t>Sohacart sales analysis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</si>
</sst>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164" fontId="16" fillId="0" borderId="0" xfId="0" applyNumberFormat="1" applyFont="1"/>
    <xf numFmtId="164" fontId="0" fillId="0" borderId="0" xfId="0" applyNumberFormat="1"/>
    <xf numFmtId="0" fontId="19" fillId="0" borderId="0" xfId="0" applyFont="1"/>
    <xf numFmtId="164" fontId="20" fillId="0" borderId="0" xfId="0" applyNumberFormat="1" applyFont="1"/>
    <xf numFmtId="164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Analysis!$B$9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Analysis!$A$10:$A$14</c:f>
              <c:strCache>
                <c:ptCount val="5"/>
                <c:pt idx="0">
                  <c:v>Electronics</c:v>
                </c:pt>
                <c:pt idx="1">
                  <c:v>Home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Analysis!$B$10:$B$14</c:f>
              <c:numCache>
                <c:formatCode>General</c:formatCode>
                <c:ptCount val="5"/>
                <c:pt idx="0">
                  <c:v>50437.15</c:v>
                </c:pt>
                <c:pt idx="1">
                  <c:v>38812.449999999997</c:v>
                </c:pt>
                <c:pt idx="2">
                  <c:v>34430.549999999996</c:v>
                </c:pt>
                <c:pt idx="3">
                  <c:v>29953.299999999996</c:v>
                </c:pt>
                <c:pt idx="4">
                  <c:v>39633.299999999996</c:v>
                </c:pt>
              </c:numCache>
            </c:numRef>
          </c:val>
        </c:ser>
        <c:axId val="107095552"/>
        <c:axId val="107097088"/>
      </c:barChart>
      <c:catAx>
        <c:axId val="107095552"/>
        <c:scaling>
          <c:orientation val="minMax"/>
        </c:scaling>
        <c:axPos val="b"/>
        <c:tickLblPos val="nextTo"/>
        <c:crossAx val="107097088"/>
        <c:crosses val="autoZero"/>
        <c:auto val="1"/>
        <c:lblAlgn val="ctr"/>
        <c:lblOffset val="100"/>
      </c:catAx>
      <c:valAx>
        <c:axId val="107097088"/>
        <c:scaling>
          <c:orientation val="minMax"/>
        </c:scaling>
        <c:axPos val="l"/>
        <c:majorGridlines/>
        <c:numFmt formatCode="General" sourceLinked="1"/>
        <c:tickLblPos val="nextTo"/>
        <c:crossAx val="10709555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0515966754155732"/>
          <c:y val="2.7777777777777801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Analysis!$E$9</c:f>
              <c:strCache>
                <c:ptCount val="1"/>
                <c:pt idx="0">
                  <c:v>Total Profit</c:v>
                </c:pt>
              </c:strCache>
            </c:strRef>
          </c:tx>
          <c:cat>
            <c:strRef>
              <c:f>Analysis!$D$10:$D$14</c:f>
              <c:strCache>
                <c:ptCount val="5"/>
                <c:pt idx="0">
                  <c:v>Electronics</c:v>
                </c:pt>
                <c:pt idx="1">
                  <c:v>Home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Analysis!$E$10:$E$14</c:f>
              <c:numCache>
                <c:formatCode>General</c:formatCode>
                <c:ptCount val="5"/>
                <c:pt idx="0">
                  <c:v>11737.720000000001</c:v>
                </c:pt>
                <c:pt idx="1">
                  <c:v>10466.019999999999</c:v>
                </c:pt>
                <c:pt idx="2">
                  <c:v>9243.3799999999992</c:v>
                </c:pt>
                <c:pt idx="3">
                  <c:v>9947.51</c:v>
                </c:pt>
                <c:pt idx="4">
                  <c:v>10633.079999999998</c:v>
                </c:pt>
              </c:numCache>
            </c:numRef>
          </c:val>
        </c:ser>
        <c:axId val="166929152"/>
        <c:axId val="170957056"/>
      </c:barChart>
      <c:catAx>
        <c:axId val="166929152"/>
        <c:scaling>
          <c:orientation val="minMax"/>
        </c:scaling>
        <c:axPos val="b"/>
        <c:tickLblPos val="nextTo"/>
        <c:crossAx val="170957056"/>
        <c:crosses val="autoZero"/>
        <c:auto val="1"/>
        <c:lblAlgn val="ctr"/>
        <c:lblOffset val="100"/>
      </c:catAx>
      <c:valAx>
        <c:axId val="170957056"/>
        <c:scaling>
          <c:orientation val="minMax"/>
        </c:scaling>
        <c:axPos val="l"/>
        <c:majorGridlines/>
        <c:numFmt formatCode="General" sourceLinked="1"/>
        <c:tickLblPos val="nextTo"/>
        <c:crossAx val="16692915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Analysis!$B$17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Analysis!$A$18:$A$21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Analysis!$B$18:$B$21</c:f>
              <c:numCache>
                <c:formatCode>General</c:formatCode>
                <c:ptCount val="4"/>
                <c:pt idx="0">
                  <c:v>51658.3</c:v>
                </c:pt>
                <c:pt idx="1">
                  <c:v>51872</c:v>
                </c:pt>
                <c:pt idx="2">
                  <c:v>42180.95</c:v>
                </c:pt>
                <c:pt idx="3">
                  <c:v>45158.5</c:v>
                </c:pt>
              </c:numCache>
            </c:numRef>
          </c:val>
        </c:ser>
        <c:axId val="125928192"/>
        <c:axId val="126221312"/>
      </c:barChart>
      <c:catAx>
        <c:axId val="125928192"/>
        <c:scaling>
          <c:orientation val="minMax"/>
        </c:scaling>
        <c:axPos val="b"/>
        <c:tickLblPos val="nextTo"/>
        <c:crossAx val="126221312"/>
        <c:crosses val="autoZero"/>
        <c:auto val="1"/>
        <c:lblAlgn val="ctr"/>
        <c:lblOffset val="100"/>
      </c:catAx>
      <c:valAx>
        <c:axId val="126221312"/>
        <c:scaling>
          <c:orientation val="minMax"/>
        </c:scaling>
        <c:axPos val="l"/>
        <c:majorGridlines/>
        <c:numFmt formatCode="General" sourceLinked="1"/>
        <c:tickLblPos val="nextTo"/>
        <c:crossAx val="12592819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by customer type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Analysis!$E$17</c:f>
              <c:strCache>
                <c:ptCount val="1"/>
                <c:pt idx="0">
                  <c:v>Total sales</c:v>
                </c:pt>
              </c:strCache>
            </c:strRef>
          </c:tx>
          <c:dLbls>
            <c:showVal val="1"/>
          </c:dLbls>
          <c:cat>
            <c:strRef>
              <c:f>Analysis!$D$18:$D$19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Analysis!$E$18:$E$19</c:f>
              <c:numCache>
                <c:formatCode>General</c:formatCode>
                <c:ptCount val="2"/>
                <c:pt idx="0">
                  <c:v>92860.349999999991</c:v>
                </c:pt>
                <c:pt idx="1">
                  <c:v>100406.40000000004</c:v>
                </c:pt>
              </c:numCache>
            </c:numRef>
          </c:val>
        </c:ser>
        <c:axId val="106614784"/>
        <c:axId val="107022208"/>
      </c:barChart>
      <c:catAx>
        <c:axId val="106614784"/>
        <c:scaling>
          <c:orientation val="minMax"/>
        </c:scaling>
        <c:axPos val="b"/>
        <c:tickLblPos val="nextTo"/>
        <c:crossAx val="107022208"/>
        <c:crossesAt val="0"/>
        <c:auto val="1"/>
        <c:lblAlgn val="ctr"/>
        <c:lblOffset val="100"/>
      </c:catAx>
      <c:valAx>
        <c:axId val="107022208"/>
        <c:scaling>
          <c:orientation val="minMax"/>
          <c:min val="0"/>
        </c:scaling>
        <c:axPos val="l"/>
        <c:majorGridlines/>
        <c:numFmt formatCode="General" sourceLinked="1"/>
        <c:tickLblPos val="nextTo"/>
        <c:crossAx val="106614784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Order</a:t>
            </a:r>
            <a:r>
              <a:rPr lang="en-US" baseline="0"/>
              <a:t> status distribution</a:t>
            </a:r>
            <a:endParaRPr lang="en-US"/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Analysis!$B$24</c:f>
              <c:strCache>
                <c:ptCount val="1"/>
                <c:pt idx="0">
                  <c:v>Number of orders</c:v>
                </c:pt>
              </c:strCache>
            </c:strRef>
          </c:tx>
          <c:cat>
            <c:strRef>
              <c:f>Analysis!$A$25:$A$27</c:f>
              <c:strCache>
                <c:ptCount val="3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</c:strCache>
            </c:strRef>
          </c:cat>
          <c:val>
            <c:numRef>
              <c:f>Analysis!$B$25:$B$27</c:f>
              <c:numCache>
                <c:formatCode>General</c:formatCode>
                <c:ptCount val="3"/>
                <c:pt idx="0">
                  <c:v>74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Payment</a:t>
            </a:r>
            <a:r>
              <a:rPr lang="en-US" baseline="0"/>
              <a:t> method distribution</a:t>
            </a:r>
            <a:endParaRPr lang="en-US"/>
          </a:p>
        </c:rich>
      </c:tx>
      <c:layout>
        <c:manualLayout>
          <c:xMode val="edge"/>
          <c:yMode val="edge"/>
          <c:x val="0.12420501336415515"/>
          <c:y val="5.1856498706892407E-2"/>
        </c:manualLayout>
      </c:layout>
    </c:title>
    <c:plotArea>
      <c:layout/>
      <c:doughnutChart>
        <c:varyColors val="1"/>
        <c:ser>
          <c:idx val="0"/>
          <c:order val="0"/>
          <c:tx>
            <c:strRef>
              <c:f>Analysis!$E$24</c:f>
              <c:strCache>
                <c:ptCount val="1"/>
                <c:pt idx="0">
                  <c:v>No of orders</c:v>
                </c:pt>
              </c:strCache>
            </c:strRef>
          </c:tx>
          <c:cat>
            <c:strRef>
              <c:f>Analysis!$D$25:$D$28</c:f>
              <c:strCache>
                <c:ptCount val="4"/>
                <c:pt idx="0">
                  <c:v>UPI</c:v>
                </c:pt>
                <c:pt idx="1">
                  <c:v>Card</c:v>
                </c:pt>
                <c:pt idx="2">
                  <c:v>COD</c:v>
                </c:pt>
                <c:pt idx="3">
                  <c:v>Wallet</c:v>
                </c:pt>
              </c:strCache>
            </c:strRef>
          </c:cat>
          <c:val>
            <c:numRef>
              <c:f>Analysis!$E$25:$E$28</c:f>
              <c:numCache>
                <c:formatCode>General</c:formatCode>
                <c:ptCount val="4"/>
                <c:pt idx="0">
                  <c:v>28</c:v>
                </c:pt>
                <c:pt idx="1">
                  <c:v>27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5</xdr:row>
      <xdr:rowOff>15240</xdr:rowOff>
    </xdr:from>
    <xdr:to>
      <xdr:col>6</xdr:col>
      <xdr:colOff>525780</xdr:colOff>
      <xdr:row>21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5</xdr:row>
      <xdr:rowOff>53340</xdr:rowOff>
    </xdr:from>
    <xdr:to>
      <xdr:col>17</xdr:col>
      <xdr:colOff>411480</xdr:colOff>
      <xdr:row>21</xdr:row>
      <xdr:rowOff>144780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22</xdr:row>
      <xdr:rowOff>114300</xdr:rowOff>
    </xdr:from>
    <xdr:to>
      <xdr:col>6</xdr:col>
      <xdr:colOff>472440</xdr:colOff>
      <xdr:row>38</xdr:row>
      <xdr:rowOff>160020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464820</xdr:colOff>
      <xdr:row>22</xdr:row>
      <xdr:rowOff>106680</xdr:rowOff>
    </xdr:from>
    <xdr:to>
      <xdr:col>17</xdr:col>
      <xdr:colOff>373380</xdr:colOff>
      <xdr:row>38</xdr:row>
      <xdr:rowOff>106680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40</xdr:row>
      <xdr:rowOff>45720</xdr:rowOff>
    </xdr:from>
    <xdr:to>
      <xdr:col>6</xdr:col>
      <xdr:colOff>518160</xdr:colOff>
      <xdr:row>57</xdr:row>
      <xdr:rowOff>30480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518160</xdr:colOff>
      <xdr:row>40</xdr:row>
      <xdr:rowOff>38100</xdr:rowOff>
    </xdr:from>
    <xdr:to>
      <xdr:col>17</xdr:col>
      <xdr:colOff>411480</xdr:colOff>
      <xdr:row>57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N81" totalsRowShown="0">
  <autoFilter ref="A1:N81"/>
  <tableColumns count="14">
    <tableColumn id="1" name="Order_ID"/>
    <tableColumn id="2" name="Order_Date" dataDxfId="0"/>
    <tableColumn id="3" name="Customer_ID"/>
    <tableColumn id="4" name="Customer_Type"/>
    <tableColumn id="5" name="Region"/>
    <tableColumn id="6" name="Category"/>
    <tableColumn id="7" name="Product"/>
    <tableColumn id="8" name="Quantity"/>
    <tableColumn id="9" name="Unit_Price"/>
    <tableColumn id="10" name="Discount"/>
    <tableColumn id="11" name="Sales"/>
    <tableColumn id="12" name="Profit"/>
    <tableColumn id="13" name="Payment_Method"/>
    <tableColumn id="14" name="Order_Statu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>
      <selection activeCell="B31" sqref="B31"/>
    </sheetView>
  </sheetViews>
  <sheetFormatPr defaultRowHeight="14.4"/>
  <cols>
    <col min="1" max="1" width="10.33203125" customWidth="1"/>
    <col min="2" max="2" width="12.44140625" customWidth="1"/>
    <col min="3" max="3" width="13.5546875" customWidth="1"/>
    <col min="4" max="4" width="15.6640625" customWidth="1"/>
    <col min="6" max="6" width="10.21875" customWidth="1"/>
    <col min="7" max="7" width="9.21875" customWidth="1"/>
    <col min="8" max="8" width="9.88671875" customWidth="1"/>
    <col min="9" max="9" width="11.33203125" customWidth="1"/>
    <col min="10" max="10" width="10" customWidth="1"/>
    <col min="13" max="13" width="17.44140625" customWidth="1"/>
    <col min="14" max="14" width="13.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45660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</v>
      </c>
      <c r="I2">
        <v>2499</v>
      </c>
      <c r="J2">
        <v>0.05</v>
      </c>
      <c r="K2">
        <v>4748.1000000000004</v>
      </c>
      <c r="L2">
        <v>759.7</v>
      </c>
      <c r="M2" t="s">
        <v>20</v>
      </c>
      <c r="N2" t="s">
        <v>21</v>
      </c>
    </row>
    <row r="3" spans="1:14">
      <c r="A3" t="s">
        <v>22</v>
      </c>
      <c r="B3" s="1">
        <v>45662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3</v>
      </c>
      <c r="I3">
        <v>799</v>
      </c>
      <c r="J3">
        <v>0</v>
      </c>
      <c r="K3">
        <v>2397</v>
      </c>
      <c r="L3">
        <v>647.19000000000005</v>
      </c>
      <c r="M3" t="s">
        <v>28</v>
      </c>
      <c r="N3" t="s">
        <v>21</v>
      </c>
    </row>
    <row r="4" spans="1:14">
      <c r="A4" t="s">
        <v>29</v>
      </c>
      <c r="B4" s="1">
        <v>45665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>
        <v>2</v>
      </c>
      <c r="I4">
        <v>899</v>
      </c>
      <c r="J4">
        <v>0.1</v>
      </c>
      <c r="K4">
        <v>1618.2</v>
      </c>
      <c r="L4">
        <v>485.46</v>
      </c>
      <c r="M4" t="s">
        <v>20</v>
      </c>
      <c r="N4" t="s">
        <v>21</v>
      </c>
    </row>
    <row r="5" spans="1:14">
      <c r="A5" t="s">
        <v>34</v>
      </c>
      <c r="B5" s="1">
        <v>45669</v>
      </c>
      <c r="C5" t="s">
        <v>35</v>
      </c>
      <c r="D5" t="s">
        <v>24</v>
      </c>
      <c r="E5" t="s">
        <v>36</v>
      </c>
      <c r="F5" t="s">
        <v>37</v>
      </c>
      <c r="G5" t="s">
        <v>38</v>
      </c>
      <c r="H5">
        <v>1</v>
      </c>
      <c r="I5">
        <v>1899</v>
      </c>
      <c r="J5">
        <v>0.05</v>
      </c>
      <c r="K5">
        <v>1804.05</v>
      </c>
      <c r="L5">
        <v>577.29999999999995</v>
      </c>
      <c r="M5" t="s">
        <v>39</v>
      </c>
      <c r="N5" t="s">
        <v>21</v>
      </c>
    </row>
    <row r="6" spans="1:14">
      <c r="A6" t="s">
        <v>40</v>
      </c>
      <c r="B6" s="1">
        <v>45673</v>
      </c>
      <c r="C6" t="s">
        <v>41</v>
      </c>
      <c r="D6" t="s">
        <v>16</v>
      </c>
      <c r="E6" t="s">
        <v>17</v>
      </c>
      <c r="F6" t="s">
        <v>42</v>
      </c>
      <c r="G6" t="s">
        <v>43</v>
      </c>
      <c r="H6">
        <v>1</v>
      </c>
      <c r="I6">
        <v>1499</v>
      </c>
      <c r="J6">
        <v>0</v>
      </c>
      <c r="K6">
        <v>1499</v>
      </c>
      <c r="L6">
        <v>524.65</v>
      </c>
      <c r="M6" t="s">
        <v>44</v>
      </c>
      <c r="N6" t="s">
        <v>21</v>
      </c>
    </row>
    <row r="7" spans="1:14">
      <c r="A7" t="s">
        <v>45</v>
      </c>
      <c r="B7" s="1">
        <v>45676</v>
      </c>
      <c r="C7" t="s">
        <v>46</v>
      </c>
      <c r="D7" t="s">
        <v>24</v>
      </c>
      <c r="E7" t="s">
        <v>25</v>
      </c>
      <c r="F7" t="s">
        <v>18</v>
      </c>
      <c r="G7" t="s">
        <v>47</v>
      </c>
      <c r="H7">
        <v>1</v>
      </c>
      <c r="I7">
        <v>3499</v>
      </c>
      <c r="J7">
        <v>0.1</v>
      </c>
      <c r="K7">
        <v>3149.1</v>
      </c>
      <c r="L7">
        <v>566.84</v>
      </c>
      <c r="M7" t="s">
        <v>28</v>
      </c>
      <c r="N7" t="s">
        <v>21</v>
      </c>
    </row>
    <row r="8" spans="1:14">
      <c r="A8" t="s">
        <v>48</v>
      </c>
      <c r="B8" s="1">
        <v>45679</v>
      </c>
      <c r="C8" t="s">
        <v>49</v>
      </c>
      <c r="D8" t="s">
        <v>16</v>
      </c>
      <c r="E8" t="s">
        <v>31</v>
      </c>
      <c r="F8" t="s">
        <v>26</v>
      </c>
      <c r="G8" t="s">
        <v>50</v>
      </c>
      <c r="H8">
        <v>2</v>
      </c>
      <c r="I8">
        <v>1299</v>
      </c>
      <c r="J8">
        <v>0.05</v>
      </c>
      <c r="K8">
        <v>2468.1</v>
      </c>
      <c r="L8">
        <v>740.43</v>
      </c>
      <c r="M8" t="s">
        <v>20</v>
      </c>
      <c r="N8" t="s">
        <v>21</v>
      </c>
    </row>
    <row r="9" spans="1:14">
      <c r="A9" t="s">
        <v>51</v>
      </c>
      <c r="B9" s="1">
        <v>45683</v>
      </c>
      <c r="C9" t="s">
        <v>52</v>
      </c>
      <c r="D9" t="s">
        <v>24</v>
      </c>
      <c r="E9" t="s">
        <v>17</v>
      </c>
      <c r="F9" t="s">
        <v>32</v>
      </c>
      <c r="G9" t="s">
        <v>53</v>
      </c>
      <c r="H9">
        <v>1</v>
      </c>
      <c r="I9">
        <v>2299</v>
      </c>
      <c r="J9">
        <v>0.15</v>
      </c>
      <c r="K9">
        <v>1954.15</v>
      </c>
      <c r="L9">
        <v>488.54</v>
      </c>
      <c r="M9" t="s">
        <v>28</v>
      </c>
      <c r="N9" t="s">
        <v>54</v>
      </c>
    </row>
    <row r="10" spans="1:14">
      <c r="A10" t="s">
        <v>55</v>
      </c>
      <c r="B10" s="1">
        <v>45686</v>
      </c>
      <c r="C10" t="s">
        <v>56</v>
      </c>
      <c r="D10" t="s">
        <v>16</v>
      </c>
      <c r="E10" t="s">
        <v>36</v>
      </c>
      <c r="F10" t="s">
        <v>37</v>
      </c>
      <c r="G10" t="s">
        <v>57</v>
      </c>
      <c r="H10">
        <v>2</v>
      </c>
      <c r="I10">
        <v>699</v>
      </c>
      <c r="J10">
        <v>0</v>
      </c>
      <c r="K10">
        <v>1398</v>
      </c>
      <c r="L10">
        <v>559.20000000000005</v>
      </c>
      <c r="M10" t="s">
        <v>20</v>
      </c>
      <c r="N10" t="s">
        <v>21</v>
      </c>
    </row>
    <row r="11" spans="1:14">
      <c r="A11" t="s">
        <v>58</v>
      </c>
      <c r="B11" s="1">
        <v>45690</v>
      </c>
      <c r="C11" t="s">
        <v>59</v>
      </c>
      <c r="D11" t="s">
        <v>24</v>
      </c>
      <c r="E11" t="s">
        <v>25</v>
      </c>
      <c r="F11" t="s">
        <v>18</v>
      </c>
      <c r="G11" t="s">
        <v>60</v>
      </c>
      <c r="H11">
        <v>1</v>
      </c>
      <c r="I11">
        <v>2199</v>
      </c>
      <c r="J11">
        <v>0.05</v>
      </c>
      <c r="K11">
        <v>2089.0500000000002</v>
      </c>
      <c r="L11">
        <v>605.82000000000005</v>
      </c>
      <c r="M11" t="s">
        <v>39</v>
      </c>
      <c r="N11" t="s">
        <v>21</v>
      </c>
    </row>
    <row r="12" spans="1:14">
      <c r="A12" t="s">
        <v>61</v>
      </c>
      <c r="B12" s="1">
        <v>45692</v>
      </c>
      <c r="C12" t="s">
        <v>62</v>
      </c>
      <c r="D12" t="s">
        <v>16</v>
      </c>
      <c r="E12" t="s">
        <v>17</v>
      </c>
      <c r="F12" t="s">
        <v>26</v>
      </c>
      <c r="G12" t="s">
        <v>63</v>
      </c>
      <c r="H12">
        <v>4</v>
      </c>
      <c r="I12">
        <v>599</v>
      </c>
      <c r="J12">
        <v>0</v>
      </c>
      <c r="K12">
        <v>2396</v>
      </c>
      <c r="L12">
        <v>718.8</v>
      </c>
      <c r="M12" t="s">
        <v>20</v>
      </c>
      <c r="N12" t="s">
        <v>21</v>
      </c>
    </row>
    <row r="13" spans="1:14">
      <c r="A13" t="s">
        <v>64</v>
      </c>
      <c r="B13" s="1">
        <v>45695</v>
      </c>
      <c r="C13" t="s">
        <v>65</v>
      </c>
      <c r="D13" t="s">
        <v>24</v>
      </c>
      <c r="E13" t="s">
        <v>31</v>
      </c>
      <c r="F13" t="s">
        <v>42</v>
      </c>
      <c r="G13" t="s">
        <v>66</v>
      </c>
      <c r="H13">
        <v>2</v>
      </c>
      <c r="I13">
        <v>899</v>
      </c>
      <c r="J13">
        <v>0.1</v>
      </c>
      <c r="K13">
        <v>1618.2</v>
      </c>
      <c r="L13">
        <v>566.37</v>
      </c>
      <c r="M13" t="s">
        <v>28</v>
      </c>
      <c r="N13" t="s">
        <v>21</v>
      </c>
    </row>
    <row r="14" spans="1:14">
      <c r="A14" t="s">
        <v>67</v>
      </c>
      <c r="B14" s="1">
        <v>45699</v>
      </c>
      <c r="C14" t="s">
        <v>68</v>
      </c>
      <c r="D14" t="s">
        <v>16</v>
      </c>
      <c r="E14" t="s">
        <v>36</v>
      </c>
      <c r="F14" t="s">
        <v>32</v>
      </c>
      <c r="G14" t="s">
        <v>69</v>
      </c>
      <c r="H14">
        <v>1</v>
      </c>
      <c r="I14">
        <v>2499</v>
      </c>
      <c r="J14">
        <v>0.1</v>
      </c>
      <c r="K14">
        <v>2249.1</v>
      </c>
      <c r="L14">
        <v>517.29</v>
      </c>
      <c r="M14" t="s">
        <v>44</v>
      </c>
      <c r="N14" t="s">
        <v>21</v>
      </c>
    </row>
    <row r="15" spans="1:14">
      <c r="A15" t="s">
        <v>70</v>
      </c>
      <c r="B15" s="1">
        <v>45702</v>
      </c>
      <c r="C15" t="s">
        <v>71</v>
      </c>
      <c r="D15" t="s">
        <v>24</v>
      </c>
      <c r="E15" t="s">
        <v>25</v>
      </c>
      <c r="F15" t="s">
        <v>37</v>
      </c>
      <c r="G15" t="s">
        <v>72</v>
      </c>
      <c r="H15">
        <v>2</v>
      </c>
      <c r="I15">
        <v>1199</v>
      </c>
      <c r="J15">
        <v>0.05</v>
      </c>
      <c r="K15">
        <v>2278.1</v>
      </c>
      <c r="L15">
        <v>774.55</v>
      </c>
      <c r="M15" t="s">
        <v>20</v>
      </c>
      <c r="N15" t="s">
        <v>21</v>
      </c>
    </row>
    <row r="16" spans="1:14">
      <c r="A16" t="s">
        <v>73</v>
      </c>
      <c r="B16" s="1">
        <v>45706</v>
      </c>
      <c r="C16" t="s">
        <v>74</v>
      </c>
      <c r="D16" t="s">
        <v>16</v>
      </c>
      <c r="E16" t="s">
        <v>17</v>
      </c>
      <c r="F16" t="s">
        <v>18</v>
      </c>
      <c r="G16" t="s">
        <v>75</v>
      </c>
      <c r="H16">
        <v>1</v>
      </c>
      <c r="I16">
        <v>2999</v>
      </c>
      <c r="J16">
        <v>0.15</v>
      </c>
      <c r="K16">
        <v>2549.15</v>
      </c>
      <c r="L16">
        <v>637.29</v>
      </c>
      <c r="M16" t="s">
        <v>28</v>
      </c>
      <c r="N16" t="s">
        <v>76</v>
      </c>
    </row>
    <row r="17" spans="1:14">
      <c r="A17" t="s">
        <v>77</v>
      </c>
      <c r="B17" s="1">
        <v>45709</v>
      </c>
      <c r="C17" t="s">
        <v>78</v>
      </c>
      <c r="D17" t="s">
        <v>24</v>
      </c>
      <c r="E17" t="s">
        <v>31</v>
      </c>
      <c r="F17" t="s">
        <v>26</v>
      </c>
      <c r="G17" t="s">
        <v>79</v>
      </c>
      <c r="H17">
        <v>1</v>
      </c>
      <c r="I17">
        <v>3299</v>
      </c>
      <c r="J17">
        <v>0.05</v>
      </c>
      <c r="K17">
        <v>3134.05</v>
      </c>
      <c r="L17">
        <v>783.51</v>
      </c>
      <c r="M17" t="s">
        <v>28</v>
      </c>
      <c r="N17" t="s">
        <v>21</v>
      </c>
    </row>
    <row r="18" spans="1:14">
      <c r="A18" t="s">
        <v>80</v>
      </c>
      <c r="B18" s="1">
        <v>45712</v>
      </c>
      <c r="C18" t="s">
        <v>81</v>
      </c>
      <c r="D18" t="s">
        <v>16</v>
      </c>
      <c r="E18" t="s">
        <v>36</v>
      </c>
      <c r="F18" t="s">
        <v>42</v>
      </c>
      <c r="G18" t="s">
        <v>82</v>
      </c>
      <c r="H18">
        <v>1</v>
      </c>
      <c r="I18">
        <v>2799</v>
      </c>
      <c r="J18">
        <v>0.1</v>
      </c>
      <c r="K18">
        <v>2519.1</v>
      </c>
      <c r="L18">
        <v>705.35</v>
      </c>
      <c r="M18" t="s">
        <v>20</v>
      </c>
      <c r="N18" t="s">
        <v>21</v>
      </c>
    </row>
    <row r="19" spans="1:14">
      <c r="A19" t="s">
        <v>83</v>
      </c>
      <c r="B19" s="1">
        <v>45715</v>
      </c>
      <c r="C19" t="s">
        <v>84</v>
      </c>
      <c r="D19" t="s">
        <v>24</v>
      </c>
      <c r="E19" t="s">
        <v>25</v>
      </c>
      <c r="F19" t="s">
        <v>32</v>
      </c>
      <c r="G19" t="s">
        <v>85</v>
      </c>
      <c r="H19">
        <v>2</v>
      </c>
      <c r="I19">
        <v>1599</v>
      </c>
      <c r="J19">
        <v>0</v>
      </c>
      <c r="K19">
        <v>3198</v>
      </c>
      <c r="L19">
        <v>895.44</v>
      </c>
      <c r="M19" t="s">
        <v>39</v>
      </c>
      <c r="N19" t="s">
        <v>21</v>
      </c>
    </row>
    <row r="20" spans="1:14">
      <c r="A20" t="s">
        <v>86</v>
      </c>
      <c r="B20" s="1">
        <v>45718</v>
      </c>
      <c r="C20" t="s">
        <v>87</v>
      </c>
      <c r="D20" t="s">
        <v>16</v>
      </c>
      <c r="E20" t="s">
        <v>17</v>
      </c>
      <c r="F20" t="s">
        <v>37</v>
      </c>
      <c r="G20" t="s">
        <v>88</v>
      </c>
      <c r="H20">
        <v>1</v>
      </c>
      <c r="I20">
        <v>2199</v>
      </c>
      <c r="J20">
        <v>0.05</v>
      </c>
      <c r="K20">
        <v>2089.0500000000002</v>
      </c>
      <c r="L20">
        <v>689.39</v>
      </c>
      <c r="M20" t="s">
        <v>28</v>
      </c>
      <c r="N20" t="s">
        <v>21</v>
      </c>
    </row>
    <row r="21" spans="1:14">
      <c r="A21" t="s">
        <v>89</v>
      </c>
      <c r="B21" s="1">
        <v>45721</v>
      </c>
      <c r="C21" t="s">
        <v>90</v>
      </c>
      <c r="D21" t="s">
        <v>24</v>
      </c>
      <c r="E21" t="s">
        <v>31</v>
      </c>
      <c r="F21" t="s">
        <v>18</v>
      </c>
      <c r="G21" t="s">
        <v>91</v>
      </c>
      <c r="H21">
        <v>3</v>
      </c>
      <c r="I21">
        <v>1299</v>
      </c>
      <c r="J21">
        <v>0.1</v>
      </c>
      <c r="K21">
        <v>3507.3</v>
      </c>
      <c r="L21">
        <v>947</v>
      </c>
      <c r="M21" t="s">
        <v>20</v>
      </c>
      <c r="N21" t="s">
        <v>21</v>
      </c>
    </row>
    <row r="22" spans="1:14">
      <c r="A22" t="s">
        <v>92</v>
      </c>
      <c r="B22" s="1">
        <v>45724</v>
      </c>
      <c r="C22" t="s">
        <v>93</v>
      </c>
      <c r="D22" t="s">
        <v>16</v>
      </c>
      <c r="E22" t="s">
        <v>36</v>
      </c>
      <c r="F22" t="s">
        <v>26</v>
      </c>
      <c r="G22" t="s">
        <v>94</v>
      </c>
      <c r="H22">
        <v>1</v>
      </c>
      <c r="I22">
        <v>1999</v>
      </c>
      <c r="J22">
        <v>0</v>
      </c>
      <c r="K22">
        <v>1999</v>
      </c>
      <c r="L22">
        <v>619.69000000000005</v>
      </c>
      <c r="M22" t="s">
        <v>44</v>
      </c>
      <c r="N22" t="s">
        <v>21</v>
      </c>
    </row>
    <row r="23" spans="1:14">
      <c r="A23" t="s">
        <v>95</v>
      </c>
      <c r="B23" s="1">
        <v>45727</v>
      </c>
      <c r="C23" t="s">
        <v>96</v>
      </c>
      <c r="D23" t="s">
        <v>24</v>
      </c>
      <c r="E23" t="s">
        <v>17</v>
      </c>
      <c r="F23" t="s">
        <v>42</v>
      </c>
      <c r="G23" t="s">
        <v>97</v>
      </c>
      <c r="H23">
        <v>1</v>
      </c>
      <c r="I23">
        <v>2899</v>
      </c>
      <c r="J23">
        <v>0.15</v>
      </c>
      <c r="K23">
        <v>2464.15</v>
      </c>
      <c r="L23">
        <v>640.67999999999995</v>
      </c>
      <c r="M23" t="s">
        <v>28</v>
      </c>
      <c r="N23" t="s">
        <v>21</v>
      </c>
    </row>
    <row r="24" spans="1:14">
      <c r="A24" t="s">
        <v>98</v>
      </c>
      <c r="B24" s="1">
        <v>45731</v>
      </c>
      <c r="C24" t="s">
        <v>99</v>
      </c>
      <c r="D24" t="s">
        <v>16</v>
      </c>
      <c r="E24" t="s">
        <v>25</v>
      </c>
      <c r="F24" t="s">
        <v>32</v>
      </c>
      <c r="G24" t="s">
        <v>100</v>
      </c>
      <c r="H24">
        <v>2</v>
      </c>
      <c r="I24">
        <v>1299</v>
      </c>
      <c r="J24">
        <v>0.05</v>
      </c>
      <c r="K24">
        <v>2468.1</v>
      </c>
      <c r="L24">
        <v>691.07</v>
      </c>
      <c r="M24" t="s">
        <v>20</v>
      </c>
      <c r="N24" t="s">
        <v>21</v>
      </c>
    </row>
    <row r="25" spans="1:14">
      <c r="A25" t="s">
        <v>101</v>
      </c>
      <c r="B25" s="1">
        <v>45734</v>
      </c>
      <c r="C25" t="s">
        <v>102</v>
      </c>
      <c r="D25" t="s">
        <v>24</v>
      </c>
      <c r="E25" t="s">
        <v>31</v>
      </c>
      <c r="F25" t="s">
        <v>37</v>
      </c>
      <c r="G25" t="s">
        <v>103</v>
      </c>
      <c r="H25">
        <v>3</v>
      </c>
      <c r="I25">
        <v>749</v>
      </c>
      <c r="J25">
        <v>0</v>
      </c>
      <c r="K25">
        <v>2247</v>
      </c>
      <c r="L25">
        <v>741.51</v>
      </c>
      <c r="M25" t="s">
        <v>39</v>
      </c>
      <c r="N25" t="s">
        <v>21</v>
      </c>
    </row>
    <row r="26" spans="1:14">
      <c r="A26" t="s">
        <v>104</v>
      </c>
      <c r="B26" s="1">
        <v>45737</v>
      </c>
      <c r="C26" t="s">
        <v>105</v>
      </c>
      <c r="D26" t="s">
        <v>16</v>
      </c>
      <c r="E26" t="s">
        <v>36</v>
      </c>
      <c r="F26" t="s">
        <v>18</v>
      </c>
      <c r="G26" t="s">
        <v>106</v>
      </c>
      <c r="H26">
        <v>1</v>
      </c>
      <c r="I26">
        <v>1799</v>
      </c>
      <c r="J26">
        <v>0.1</v>
      </c>
      <c r="K26">
        <v>1619.1</v>
      </c>
      <c r="L26">
        <v>437.16</v>
      </c>
      <c r="M26" t="s">
        <v>28</v>
      </c>
      <c r="N26" t="s">
        <v>21</v>
      </c>
    </row>
    <row r="27" spans="1:14">
      <c r="A27" t="s">
        <v>107</v>
      </c>
      <c r="B27" s="1">
        <v>45740</v>
      </c>
      <c r="C27" t="s">
        <v>108</v>
      </c>
      <c r="D27" t="s">
        <v>24</v>
      </c>
      <c r="E27" t="s">
        <v>17</v>
      </c>
      <c r="F27" t="s">
        <v>26</v>
      </c>
      <c r="G27" t="s">
        <v>109</v>
      </c>
      <c r="H27">
        <v>1</v>
      </c>
      <c r="I27">
        <v>1799</v>
      </c>
      <c r="J27">
        <v>0.05</v>
      </c>
      <c r="K27">
        <v>1709.05</v>
      </c>
      <c r="L27">
        <v>512.72</v>
      </c>
      <c r="M27" t="s">
        <v>20</v>
      </c>
      <c r="N27" t="s">
        <v>21</v>
      </c>
    </row>
    <row r="28" spans="1:14">
      <c r="A28" t="s">
        <v>110</v>
      </c>
      <c r="B28" s="1">
        <v>45743</v>
      </c>
      <c r="C28" t="s">
        <v>111</v>
      </c>
      <c r="D28" t="s">
        <v>16</v>
      </c>
      <c r="E28" t="s">
        <v>25</v>
      </c>
      <c r="F28" t="s">
        <v>42</v>
      </c>
      <c r="G28" t="s">
        <v>112</v>
      </c>
      <c r="H28">
        <v>1</v>
      </c>
      <c r="I28">
        <v>2499</v>
      </c>
      <c r="J28">
        <v>0.1</v>
      </c>
      <c r="K28">
        <v>2249.1</v>
      </c>
      <c r="L28">
        <v>629.75</v>
      </c>
      <c r="M28" t="s">
        <v>44</v>
      </c>
      <c r="N28" t="s">
        <v>21</v>
      </c>
    </row>
    <row r="29" spans="1:14">
      <c r="A29" t="s">
        <v>113</v>
      </c>
      <c r="B29" s="1">
        <v>45746</v>
      </c>
      <c r="C29" t="s">
        <v>114</v>
      </c>
      <c r="D29" t="s">
        <v>24</v>
      </c>
      <c r="E29" t="s">
        <v>31</v>
      </c>
      <c r="F29" t="s">
        <v>32</v>
      </c>
      <c r="G29" t="s">
        <v>115</v>
      </c>
      <c r="H29">
        <v>2</v>
      </c>
      <c r="I29">
        <v>999</v>
      </c>
      <c r="J29">
        <v>0</v>
      </c>
      <c r="K29">
        <v>1998</v>
      </c>
      <c r="L29">
        <v>639.36</v>
      </c>
      <c r="M29" t="s">
        <v>28</v>
      </c>
      <c r="N29" t="s">
        <v>54</v>
      </c>
    </row>
    <row r="30" spans="1:14">
      <c r="A30" t="s">
        <v>116</v>
      </c>
      <c r="B30" s="1">
        <v>45749</v>
      </c>
      <c r="C30" t="s">
        <v>117</v>
      </c>
      <c r="D30" t="s">
        <v>16</v>
      </c>
      <c r="E30" t="s">
        <v>36</v>
      </c>
      <c r="F30" t="s">
        <v>37</v>
      </c>
      <c r="G30" t="s">
        <v>118</v>
      </c>
      <c r="H30">
        <v>1</v>
      </c>
      <c r="I30">
        <v>899</v>
      </c>
      <c r="J30">
        <v>0.05</v>
      </c>
      <c r="K30">
        <v>854.05</v>
      </c>
      <c r="L30">
        <v>273.3</v>
      </c>
      <c r="M30" t="s">
        <v>20</v>
      </c>
      <c r="N30" t="s">
        <v>21</v>
      </c>
    </row>
    <row r="31" spans="1:14">
      <c r="A31" t="s">
        <v>119</v>
      </c>
      <c r="B31" s="1">
        <v>45752</v>
      </c>
      <c r="C31" t="s">
        <v>120</v>
      </c>
      <c r="D31" t="s">
        <v>24</v>
      </c>
      <c r="E31" t="s">
        <v>25</v>
      </c>
      <c r="F31" t="s">
        <v>18</v>
      </c>
      <c r="G31" t="s">
        <v>121</v>
      </c>
      <c r="H31">
        <v>1</v>
      </c>
      <c r="I31">
        <v>4999</v>
      </c>
      <c r="J31">
        <v>0.15</v>
      </c>
      <c r="K31">
        <v>4249.1499999999996</v>
      </c>
      <c r="L31">
        <v>849.83</v>
      </c>
      <c r="M31" t="s">
        <v>28</v>
      </c>
      <c r="N31" t="s">
        <v>21</v>
      </c>
    </row>
    <row r="32" spans="1:14">
      <c r="A32" t="s">
        <v>122</v>
      </c>
      <c r="B32" s="1">
        <v>45755</v>
      </c>
      <c r="C32" t="s">
        <v>123</v>
      </c>
      <c r="D32" t="s">
        <v>16</v>
      </c>
      <c r="E32" t="s">
        <v>17</v>
      </c>
      <c r="F32" t="s">
        <v>26</v>
      </c>
      <c r="G32" t="s">
        <v>124</v>
      </c>
      <c r="H32">
        <v>1</v>
      </c>
      <c r="I32">
        <v>4499</v>
      </c>
      <c r="J32">
        <v>0.1</v>
      </c>
      <c r="K32">
        <v>4049.1</v>
      </c>
      <c r="L32">
        <v>809.82</v>
      </c>
      <c r="M32" t="s">
        <v>20</v>
      </c>
      <c r="N32" t="s">
        <v>21</v>
      </c>
    </row>
    <row r="33" spans="1:14">
      <c r="A33" t="s">
        <v>125</v>
      </c>
      <c r="B33" s="1">
        <v>45758</v>
      </c>
      <c r="C33" t="s">
        <v>126</v>
      </c>
      <c r="D33" t="s">
        <v>24</v>
      </c>
      <c r="E33" t="s">
        <v>31</v>
      </c>
      <c r="F33" t="s">
        <v>42</v>
      </c>
      <c r="G33" t="s">
        <v>127</v>
      </c>
      <c r="H33">
        <v>1</v>
      </c>
      <c r="I33">
        <v>5999</v>
      </c>
      <c r="J33">
        <v>0.05</v>
      </c>
      <c r="K33">
        <v>5699.05</v>
      </c>
      <c r="L33">
        <v>1025.83</v>
      </c>
      <c r="M33" t="s">
        <v>28</v>
      </c>
      <c r="N33" t="s">
        <v>21</v>
      </c>
    </row>
    <row r="34" spans="1:14">
      <c r="A34" t="s">
        <v>128</v>
      </c>
      <c r="B34" s="1">
        <v>45761</v>
      </c>
      <c r="C34" t="s">
        <v>129</v>
      </c>
      <c r="D34" t="s">
        <v>16</v>
      </c>
      <c r="E34" t="s">
        <v>36</v>
      </c>
      <c r="F34" t="s">
        <v>32</v>
      </c>
      <c r="G34" t="s">
        <v>130</v>
      </c>
      <c r="H34">
        <v>2</v>
      </c>
      <c r="I34">
        <v>1399</v>
      </c>
      <c r="J34">
        <v>0.1</v>
      </c>
      <c r="K34">
        <v>2518.1999999999998</v>
      </c>
      <c r="L34">
        <v>629.54999999999995</v>
      </c>
      <c r="M34" t="s">
        <v>39</v>
      </c>
      <c r="N34" t="s">
        <v>21</v>
      </c>
    </row>
    <row r="35" spans="1:14">
      <c r="A35" t="s">
        <v>131</v>
      </c>
      <c r="B35" s="1">
        <v>45764</v>
      </c>
      <c r="C35" t="s">
        <v>132</v>
      </c>
      <c r="D35" t="s">
        <v>24</v>
      </c>
      <c r="E35" t="s">
        <v>17</v>
      </c>
      <c r="F35" t="s">
        <v>37</v>
      </c>
      <c r="G35" t="s">
        <v>133</v>
      </c>
      <c r="H35">
        <v>1</v>
      </c>
      <c r="I35">
        <v>2499</v>
      </c>
      <c r="J35">
        <v>0</v>
      </c>
      <c r="K35">
        <v>2499</v>
      </c>
      <c r="L35">
        <v>674.73</v>
      </c>
      <c r="M35" t="s">
        <v>20</v>
      </c>
      <c r="N35" t="s">
        <v>21</v>
      </c>
    </row>
    <row r="36" spans="1:14">
      <c r="A36" t="s">
        <v>134</v>
      </c>
      <c r="B36" s="1">
        <v>45767</v>
      </c>
      <c r="C36" t="s">
        <v>135</v>
      </c>
      <c r="D36" t="s">
        <v>16</v>
      </c>
      <c r="E36" t="s">
        <v>25</v>
      </c>
      <c r="F36" t="s">
        <v>18</v>
      </c>
      <c r="G36" t="s">
        <v>136</v>
      </c>
      <c r="H36">
        <v>2</v>
      </c>
      <c r="I36">
        <v>999</v>
      </c>
      <c r="J36">
        <v>0.05</v>
      </c>
      <c r="K36">
        <v>1898.1</v>
      </c>
      <c r="L36">
        <v>531.47</v>
      </c>
      <c r="M36" t="s">
        <v>44</v>
      </c>
      <c r="N36" t="s">
        <v>21</v>
      </c>
    </row>
    <row r="37" spans="1:14">
      <c r="A37" t="s">
        <v>137</v>
      </c>
      <c r="B37" s="1">
        <v>45770</v>
      </c>
      <c r="C37" t="s">
        <v>138</v>
      </c>
      <c r="D37" t="s">
        <v>24</v>
      </c>
      <c r="E37" t="s">
        <v>31</v>
      </c>
      <c r="F37" t="s">
        <v>26</v>
      </c>
      <c r="G37" t="s">
        <v>139</v>
      </c>
      <c r="H37">
        <v>3</v>
      </c>
      <c r="I37">
        <v>699</v>
      </c>
      <c r="J37">
        <v>0.1</v>
      </c>
      <c r="K37">
        <v>1887.3</v>
      </c>
      <c r="L37">
        <v>603.94000000000005</v>
      </c>
      <c r="M37" t="s">
        <v>28</v>
      </c>
      <c r="N37" t="s">
        <v>21</v>
      </c>
    </row>
    <row r="38" spans="1:14">
      <c r="A38" t="s">
        <v>140</v>
      </c>
      <c r="B38" s="1">
        <v>45773</v>
      </c>
      <c r="C38" t="s">
        <v>141</v>
      </c>
      <c r="D38" t="s">
        <v>16</v>
      </c>
      <c r="E38" t="s">
        <v>36</v>
      </c>
      <c r="F38" t="s">
        <v>42</v>
      </c>
      <c r="G38" t="s">
        <v>142</v>
      </c>
      <c r="H38">
        <v>3</v>
      </c>
      <c r="I38">
        <v>499</v>
      </c>
      <c r="J38">
        <v>0</v>
      </c>
      <c r="K38">
        <v>1497</v>
      </c>
      <c r="L38">
        <v>508.98</v>
      </c>
      <c r="M38" t="s">
        <v>20</v>
      </c>
      <c r="N38" t="s">
        <v>21</v>
      </c>
    </row>
    <row r="39" spans="1:14">
      <c r="A39" t="s">
        <v>143</v>
      </c>
      <c r="B39" s="1">
        <v>45776</v>
      </c>
      <c r="C39" t="s">
        <v>144</v>
      </c>
      <c r="D39" t="s">
        <v>24</v>
      </c>
      <c r="E39" t="s">
        <v>17</v>
      </c>
      <c r="F39" t="s">
        <v>32</v>
      </c>
      <c r="G39" t="s">
        <v>53</v>
      </c>
      <c r="H39">
        <v>1</v>
      </c>
      <c r="I39">
        <v>2299</v>
      </c>
      <c r="J39">
        <v>0.05</v>
      </c>
      <c r="K39">
        <v>2184.0500000000002</v>
      </c>
      <c r="L39">
        <v>546.01</v>
      </c>
      <c r="M39" t="s">
        <v>28</v>
      </c>
      <c r="N39" t="s">
        <v>21</v>
      </c>
    </row>
    <row r="40" spans="1:14">
      <c r="A40" t="s">
        <v>145</v>
      </c>
      <c r="B40" s="1">
        <v>45779</v>
      </c>
      <c r="C40" t="s">
        <v>146</v>
      </c>
      <c r="D40" t="s">
        <v>16</v>
      </c>
      <c r="E40" t="s">
        <v>25</v>
      </c>
      <c r="F40" t="s">
        <v>37</v>
      </c>
      <c r="G40" t="s">
        <v>147</v>
      </c>
      <c r="H40">
        <v>2</v>
      </c>
      <c r="I40">
        <v>1299</v>
      </c>
      <c r="J40">
        <v>0.1</v>
      </c>
      <c r="K40">
        <v>2338.1999999999998</v>
      </c>
      <c r="L40">
        <v>701.46</v>
      </c>
      <c r="M40" t="s">
        <v>39</v>
      </c>
      <c r="N40" t="s">
        <v>21</v>
      </c>
    </row>
    <row r="41" spans="1:14">
      <c r="A41" t="s">
        <v>148</v>
      </c>
      <c r="B41" s="1">
        <v>45782</v>
      </c>
      <c r="C41" t="s">
        <v>149</v>
      </c>
      <c r="D41" t="s">
        <v>24</v>
      </c>
      <c r="E41" t="s">
        <v>31</v>
      </c>
      <c r="F41" t="s">
        <v>18</v>
      </c>
      <c r="G41" t="s">
        <v>47</v>
      </c>
      <c r="H41">
        <v>1</v>
      </c>
      <c r="I41">
        <v>3499</v>
      </c>
      <c r="J41">
        <v>0.05</v>
      </c>
      <c r="K41">
        <v>3324.05</v>
      </c>
      <c r="L41">
        <v>664.81</v>
      </c>
      <c r="M41" t="s">
        <v>20</v>
      </c>
      <c r="N41" t="s">
        <v>21</v>
      </c>
    </row>
    <row r="42" spans="1:14">
      <c r="A42" t="s">
        <v>150</v>
      </c>
      <c r="B42" s="1">
        <v>45785</v>
      </c>
      <c r="C42" t="s">
        <v>151</v>
      </c>
      <c r="D42" t="s">
        <v>16</v>
      </c>
      <c r="E42" t="s">
        <v>17</v>
      </c>
      <c r="F42" t="s">
        <v>26</v>
      </c>
      <c r="G42" t="s">
        <v>50</v>
      </c>
      <c r="H42">
        <v>2</v>
      </c>
      <c r="I42">
        <v>1299</v>
      </c>
      <c r="J42">
        <v>0.15</v>
      </c>
      <c r="K42">
        <v>2208.3000000000002</v>
      </c>
      <c r="L42">
        <v>574.16</v>
      </c>
      <c r="M42" t="s">
        <v>44</v>
      </c>
      <c r="N42" t="s">
        <v>21</v>
      </c>
    </row>
    <row r="43" spans="1:14">
      <c r="A43" t="s">
        <v>152</v>
      </c>
      <c r="B43" s="1">
        <v>45788</v>
      </c>
      <c r="C43" t="s">
        <v>153</v>
      </c>
      <c r="D43" t="s">
        <v>24</v>
      </c>
      <c r="E43" t="s">
        <v>36</v>
      </c>
      <c r="F43" t="s">
        <v>42</v>
      </c>
      <c r="G43" t="s">
        <v>82</v>
      </c>
      <c r="H43">
        <v>1</v>
      </c>
      <c r="I43">
        <v>2799</v>
      </c>
      <c r="J43">
        <v>0.05</v>
      </c>
      <c r="K43">
        <v>2659.05</v>
      </c>
      <c r="L43">
        <v>744.53</v>
      </c>
      <c r="M43" t="s">
        <v>28</v>
      </c>
      <c r="N43" t="s">
        <v>21</v>
      </c>
    </row>
    <row r="44" spans="1:14">
      <c r="A44" t="s">
        <v>154</v>
      </c>
      <c r="B44" s="1">
        <v>45791</v>
      </c>
      <c r="C44" t="s">
        <v>155</v>
      </c>
      <c r="D44" t="s">
        <v>16</v>
      </c>
      <c r="E44" t="s">
        <v>25</v>
      </c>
      <c r="F44" t="s">
        <v>32</v>
      </c>
      <c r="G44" t="s">
        <v>33</v>
      </c>
      <c r="H44">
        <v>3</v>
      </c>
      <c r="I44">
        <v>899</v>
      </c>
      <c r="J44">
        <v>0.1</v>
      </c>
      <c r="K44">
        <v>2427.3000000000002</v>
      </c>
      <c r="L44">
        <v>728.19</v>
      </c>
      <c r="M44" t="s">
        <v>20</v>
      </c>
      <c r="N44" t="s">
        <v>21</v>
      </c>
    </row>
    <row r="45" spans="1:14">
      <c r="A45" t="s">
        <v>156</v>
      </c>
      <c r="B45" s="1">
        <v>45794</v>
      </c>
      <c r="C45" t="s">
        <v>157</v>
      </c>
      <c r="D45" t="s">
        <v>24</v>
      </c>
      <c r="E45" t="s">
        <v>31</v>
      </c>
      <c r="F45" t="s">
        <v>37</v>
      </c>
      <c r="G45" t="s">
        <v>57</v>
      </c>
      <c r="H45">
        <v>2</v>
      </c>
      <c r="I45">
        <v>699</v>
      </c>
      <c r="J45">
        <v>0</v>
      </c>
      <c r="K45">
        <v>1398</v>
      </c>
      <c r="L45">
        <v>559.20000000000005</v>
      </c>
      <c r="M45" t="s">
        <v>39</v>
      </c>
      <c r="N45" t="s">
        <v>21</v>
      </c>
    </row>
    <row r="46" spans="1:14">
      <c r="A46" t="s">
        <v>158</v>
      </c>
      <c r="B46" s="1">
        <v>45797</v>
      </c>
      <c r="C46" t="s">
        <v>159</v>
      </c>
      <c r="D46" t="s">
        <v>16</v>
      </c>
      <c r="E46" t="s">
        <v>36</v>
      </c>
      <c r="F46" t="s">
        <v>18</v>
      </c>
      <c r="G46" t="s">
        <v>19</v>
      </c>
      <c r="H46">
        <v>1</v>
      </c>
      <c r="I46">
        <v>2499</v>
      </c>
      <c r="J46">
        <v>0.15</v>
      </c>
      <c r="K46">
        <v>2124.15</v>
      </c>
      <c r="L46">
        <v>531.04</v>
      </c>
      <c r="M46" t="s">
        <v>28</v>
      </c>
      <c r="N46" t="s">
        <v>21</v>
      </c>
    </row>
    <row r="47" spans="1:14">
      <c r="A47" t="s">
        <v>160</v>
      </c>
      <c r="B47" s="1">
        <v>45800</v>
      </c>
      <c r="C47" t="s">
        <v>161</v>
      </c>
      <c r="D47" t="s">
        <v>24</v>
      </c>
      <c r="E47" t="s">
        <v>17</v>
      </c>
      <c r="F47" t="s">
        <v>26</v>
      </c>
      <c r="G47" t="s">
        <v>79</v>
      </c>
      <c r="H47">
        <v>1</v>
      </c>
      <c r="I47">
        <v>3299</v>
      </c>
      <c r="J47">
        <v>0.1</v>
      </c>
      <c r="K47">
        <v>2969.1</v>
      </c>
      <c r="L47">
        <v>712.58</v>
      </c>
      <c r="M47" t="s">
        <v>20</v>
      </c>
      <c r="N47" t="s">
        <v>21</v>
      </c>
    </row>
    <row r="48" spans="1:14">
      <c r="A48" t="s">
        <v>162</v>
      </c>
      <c r="B48" s="1">
        <v>45803</v>
      </c>
      <c r="C48" t="s">
        <v>163</v>
      </c>
      <c r="D48" t="s">
        <v>16</v>
      </c>
      <c r="E48" t="s">
        <v>25</v>
      </c>
      <c r="F48" t="s">
        <v>42</v>
      </c>
      <c r="G48" t="s">
        <v>43</v>
      </c>
      <c r="H48">
        <v>2</v>
      </c>
      <c r="I48">
        <v>1499</v>
      </c>
      <c r="J48">
        <v>0.05</v>
      </c>
      <c r="K48">
        <v>2848.1</v>
      </c>
      <c r="L48">
        <v>996.84</v>
      </c>
      <c r="M48" t="s">
        <v>44</v>
      </c>
      <c r="N48" t="s">
        <v>21</v>
      </c>
    </row>
    <row r="49" spans="1:14">
      <c r="A49" t="s">
        <v>164</v>
      </c>
      <c r="B49" s="1">
        <v>45806</v>
      </c>
      <c r="C49" t="s">
        <v>165</v>
      </c>
      <c r="D49" t="s">
        <v>24</v>
      </c>
      <c r="E49" t="s">
        <v>31</v>
      </c>
      <c r="F49" t="s">
        <v>32</v>
      </c>
      <c r="G49" t="s">
        <v>69</v>
      </c>
      <c r="H49">
        <v>1</v>
      </c>
      <c r="I49">
        <v>2499</v>
      </c>
      <c r="J49">
        <v>0.2</v>
      </c>
      <c r="K49">
        <v>1999.2</v>
      </c>
      <c r="L49">
        <v>459.82</v>
      </c>
      <c r="M49" t="s">
        <v>28</v>
      </c>
      <c r="N49" t="s">
        <v>54</v>
      </c>
    </row>
    <row r="50" spans="1:14">
      <c r="A50" t="s">
        <v>166</v>
      </c>
      <c r="B50" s="1">
        <v>45809</v>
      </c>
      <c r="C50" t="s">
        <v>167</v>
      </c>
      <c r="D50" t="s">
        <v>16</v>
      </c>
      <c r="E50" t="s">
        <v>17</v>
      </c>
      <c r="F50" t="s">
        <v>37</v>
      </c>
      <c r="G50" t="s">
        <v>88</v>
      </c>
      <c r="H50">
        <v>1</v>
      </c>
      <c r="I50">
        <v>2199</v>
      </c>
      <c r="J50">
        <v>0.1</v>
      </c>
      <c r="K50">
        <v>1979.1</v>
      </c>
      <c r="L50">
        <v>653.1</v>
      </c>
      <c r="M50" t="s">
        <v>20</v>
      </c>
      <c r="N50" t="s">
        <v>21</v>
      </c>
    </row>
    <row r="51" spans="1:14">
      <c r="A51" t="s">
        <v>168</v>
      </c>
      <c r="B51" s="1">
        <v>45812</v>
      </c>
      <c r="C51" t="s">
        <v>169</v>
      </c>
      <c r="D51" t="s">
        <v>24</v>
      </c>
      <c r="E51" t="s">
        <v>36</v>
      </c>
      <c r="F51" t="s">
        <v>18</v>
      </c>
      <c r="G51" t="s">
        <v>60</v>
      </c>
      <c r="H51">
        <v>2</v>
      </c>
      <c r="I51">
        <v>2199</v>
      </c>
      <c r="J51">
        <v>0.05</v>
      </c>
      <c r="K51">
        <v>4178.1000000000004</v>
      </c>
      <c r="L51">
        <v>1211.6500000000001</v>
      </c>
      <c r="M51" t="s">
        <v>28</v>
      </c>
      <c r="N51" t="s">
        <v>21</v>
      </c>
    </row>
    <row r="52" spans="1:14">
      <c r="A52" t="s">
        <v>170</v>
      </c>
      <c r="B52" s="1">
        <v>45815</v>
      </c>
      <c r="C52" t="s">
        <v>171</v>
      </c>
      <c r="D52" t="s">
        <v>16</v>
      </c>
      <c r="E52" t="s">
        <v>31</v>
      </c>
      <c r="F52" t="s">
        <v>26</v>
      </c>
      <c r="G52" t="s">
        <v>109</v>
      </c>
      <c r="H52">
        <v>2</v>
      </c>
      <c r="I52">
        <v>1799</v>
      </c>
      <c r="J52">
        <v>0</v>
      </c>
      <c r="K52">
        <v>3598</v>
      </c>
      <c r="L52">
        <v>1079.4000000000001</v>
      </c>
      <c r="M52" t="s">
        <v>39</v>
      </c>
      <c r="N52" t="s">
        <v>21</v>
      </c>
    </row>
    <row r="53" spans="1:14">
      <c r="A53" t="s">
        <v>172</v>
      </c>
      <c r="B53" s="1">
        <v>45818</v>
      </c>
      <c r="C53" t="s">
        <v>173</v>
      </c>
      <c r="D53" t="s">
        <v>24</v>
      </c>
      <c r="E53" t="s">
        <v>25</v>
      </c>
      <c r="F53" t="s">
        <v>42</v>
      </c>
      <c r="G53" t="s">
        <v>97</v>
      </c>
      <c r="H53">
        <v>1</v>
      </c>
      <c r="I53">
        <v>2899</v>
      </c>
      <c r="J53">
        <v>0.1</v>
      </c>
      <c r="K53">
        <v>2609.1</v>
      </c>
      <c r="L53">
        <v>678.37</v>
      </c>
      <c r="M53" t="s">
        <v>20</v>
      </c>
      <c r="N53" t="s">
        <v>21</v>
      </c>
    </row>
    <row r="54" spans="1:14">
      <c r="A54" t="s">
        <v>174</v>
      </c>
      <c r="B54" s="1">
        <v>45821</v>
      </c>
      <c r="C54" t="s">
        <v>175</v>
      </c>
      <c r="D54" t="s">
        <v>16</v>
      </c>
      <c r="E54" t="s">
        <v>36</v>
      </c>
      <c r="F54" t="s">
        <v>32</v>
      </c>
      <c r="G54" t="s">
        <v>100</v>
      </c>
      <c r="H54">
        <v>2</v>
      </c>
      <c r="I54">
        <v>1299</v>
      </c>
      <c r="J54">
        <v>0.15</v>
      </c>
      <c r="K54">
        <v>2208.3000000000002</v>
      </c>
      <c r="L54">
        <v>574.16</v>
      </c>
      <c r="M54" t="s">
        <v>44</v>
      </c>
      <c r="N54" t="s">
        <v>21</v>
      </c>
    </row>
    <row r="55" spans="1:14">
      <c r="A55" t="s">
        <v>176</v>
      </c>
      <c r="B55" s="1">
        <v>45824</v>
      </c>
      <c r="C55" t="s">
        <v>177</v>
      </c>
      <c r="D55" t="s">
        <v>24</v>
      </c>
      <c r="E55" t="s">
        <v>17</v>
      </c>
      <c r="F55" t="s">
        <v>37</v>
      </c>
      <c r="G55" t="s">
        <v>38</v>
      </c>
      <c r="H55">
        <v>1</v>
      </c>
      <c r="I55">
        <v>1899</v>
      </c>
      <c r="J55">
        <v>0</v>
      </c>
      <c r="K55">
        <v>1899</v>
      </c>
      <c r="L55">
        <v>607.67999999999995</v>
      </c>
      <c r="M55" t="s">
        <v>28</v>
      </c>
      <c r="N55" t="s">
        <v>21</v>
      </c>
    </row>
    <row r="56" spans="1:14">
      <c r="A56" t="s">
        <v>178</v>
      </c>
      <c r="B56" s="1">
        <v>45827</v>
      </c>
      <c r="C56" t="s">
        <v>179</v>
      </c>
      <c r="D56" t="s">
        <v>16</v>
      </c>
      <c r="E56" t="s">
        <v>31</v>
      </c>
      <c r="F56" t="s">
        <v>18</v>
      </c>
      <c r="G56" t="s">
        <v>75</v>
      </c>
      <c r="H56">
        <v>1</v>
      </c>
      <c r="I56">
        <v>2999</v>
      </c>
      <c r="J56">
        <v>0.05</v>
      </c>
      <c r="K56">
        <v>2849.05</v>
      </c>
      <c r="L56">
        <v>712.26</v>
      </c>
      <c r="M56" t="s">
        <v>20</v>
      </c>
      <c r="N56" t="s">
        <v>21</v>
      </c>
    </row>
    <row r="57" spans="1:14">
      <c r="A57" t="s">
        <v>180</v>
      </c>
      <c r="B57" s="1">
        <v>45830</v>
      </c>
      <c r="C57" t="s">
        <v>181</v>
      </c>
      <c r="D57" t="s">
        <v>24</v>
      </c>
      <c r="E57" t="s">
        <v>25</v>
      </c>
      <c r="F57" t="s">
        <v>26</v>
      </c>
      <c r="G57" t="s">
        <v>124</v>
      </c>
      <c r="H57">
        <v>1</v>
      </c>
      <c r="I57">
        <v>4499</v>
      </c>
      <c r="J57">
        <v>0.15</v>
      </c>
      <c r="K57">
        <v>3824.15</v>
      </c>
      <c r="L57">
        <v>764.83</v>
      </c>
      <c r="M57" t="s">
        <v>28</v>
      </c>
      <c r="N57" t="s">
        <v>21</v>
      </c>
    </row>
    <row r="58" spans="1:14">
      <c r="A58" t="s">
        <v>182</v>
      </c>
      <c r="B58" s="1">
        <v>45833</v>
      </c>
      <c r="C58" t="s">
        <v>183</v>
      </c>
      <c r="D58" t="s">
        <v>16</v>
      </c>
      <c r="E58" t="s">
        <v>17</v>
      </c>
      <c r="F58" t="s">
        <v>42</v>
      </c>
      <c r="G58" t="s">
        <v>66</v>
      </c>
      <c r="H58">
        <v>2</v>
      </c>
      <c r="I58">
        <v>899</v>
      </c>
      <c r="J58">
        <v>0</v>
      </c>
      <c r="K58">
        <v>1798</v>
      </c>
      <c r="L58">
        <v>629.29999999999995</v>
      </c>
      <c r="M58" t="s">
        <v>39</v>
      </c>
      <c r="N58" t="s">
        <v>21</v>
      </c>
    </row>
    <row r="59" spans="1:14">
      <c r="A59" t="s">
        <v>184</v>
      </c>
      <c r="B59" s="1">
        <v>45836</v>
      </c>
      <c r="C59" t="s">
        <v>185</v>
      </c>
      <c r="D59" t="s">
        <v>24</v>
      </c>
      <c r="E59" t="s">
        <v>36</v>
      </c>
      <c r="F59" t="s">
        <v>32</v>
      </c>
      <c r="G59" t="s">
        <v>85</v>
      </c>
      <c r="H59">
        <v>1</v>
      </c>
      <c r="I59">
        <v>1599</v>
      </c>
      <c r="J59">
        <v>0.1</v>
      </c>
      <c r="K59">
        <v>1439.1</v>
      </c>
      <c r="L59">
        <v>402.95</v>
      </c>
      <c r="M59" t="s">
        <v>20</v>
      </c>
      <c r="N59" t="s">
        <v>21</v>
      </c>
    </row>
    <row r="60" spans="1:14">
      <c r="A60" t="s">
        <v>186</v>
      </c>
      <c r="B60" s="1">
        <v>45839</v>
      </c>
      <c r="C60" t="s">
        <v>187</v>
      </c>
      <c r="D60" t="s">
        <v>16</v>
      </c>
      <c r="E60" t="s">
        <v>31</v>
      </c>
      <c r="F60" t="s">
        <v>37</v>
      </c>
      <c r="G60" t="s">
        <v>72</v>
      </c>
      <c r="H60">
        <v>2</v>
      </c>
      <c r="I60">
        <v>1199</v>
      </c>
      <c r="J60">
        <v>0.05</v>
      </c>
      <c r="K60">
        <v>2278.1</v>
      </c>
      <c r="L60">
        <v>774.55</v>
      </c>
      <c r="M60" t="s">
        <v>28</v>
      </c>
      <c r="N60" t="s">
        <v>21</v>
      </c>
    </row>
    <row r="61" spans="1:14">
      <c r="A61" t="s">
        <v>188</v>
      </c>
      <c r="B61" s="1">
        <v>45842</v>
      </c>
      <c r="C61" t="s">
        <v>189</v>
      </c>
      <c r="D61" t="s">
        <v>24</v>
      </c>
      <c r="E61" t="s">
        <v>25</v>
      </c>
      <c r="F61" t="s">
        <v>18</v>
      </c>
      <c r="G61" t="s">
        <v>91</v>
      </c>
      <c r="H61">
        <v>2</v>
      </c>
      <c r="I61">
        <v>1299</v>
      </c>
      <c r="J61">
        <v>0.15</v>
      </c>
      <c r="K61">
        <v>2208.3000000000002</v>
      </c>
      <c r="L61">
        <v>596.24</v>
      </c>
      <c r="M61" t="s">
        <v>44</v>
      </c>
      <c r="N61" t="s">
        <v>76</v>
      </c>
    </row>
    <row r="62" spans="1:14">
      <c r="A62" t="s">
        <v>190</v>
      </c>
      <c r="B62" s="1">
        <v>45845</v>
      </c>
      <c r="C62" t="s">
        <v>191</v>
      </c>
      <c r="D62" t="s">
        <v>16</v>
      </c>
      <c r="E62" t="s">
        <v>17</v>
      </c>
      <c r="F62" t="s">
        <v>26</v>
      </c>
      <c r="G62" t="s">
        <v>94</v>
      </c>
      <c r="H62">
        <v>1</v>
      </c>
      <c r="I62">
        <v>1999</v>
      </c>
      <c r="J62">
        <v>0.05</v>
      </c>
      <c r="K62">
        <v>1899.05</v>
      </c>
      <c r="L62">
        <v>588.71</v>
      </c>
      <c r="M62" t="s">
        <v>20</v>
      </c>
      <c r="N62" t="s">
        <v>21</v>
      </c>
    </row>
    <row r="63" spans="1:14">
      <c r="A63" t="s">
        <v>192</v>
      </c>
      <c r="B63" s="1">
        <v>45848</v>
      </c>
      <c r="C63" t="s">
        <v>193</v>
      </c>
      <c r="D63" t="s">
        <v>24</v>
      </c>
      <c r="E63" t="s">
        <v>31</v>
      </c>
      <c r="F63" t="s">
        <v>42</v>
      </c>
      <c r="G63" t="s">
        <v>112</v>
      </c>
      <c r="H63">
        <v>1</v>
      </c>
      <c r="I63">
        <v>2499</v>
      </c>
      <c r="J63">
        <v>0</v>
      </c>
      <c r="K63">
        <v>2499</v>
      </c>
      <c r="L63">
        <v>699.72</v>
      </c>
      <c r="M63" t="s">
        <v>28</v>
      </c>
      <c r="N63" t="s">
        <v>21</v>
      </c>
    </row>
    <row r="64" spans="1:14">
      <c r="A64" t="s">
        <v>194</v>
      </c>
      <c r="B64" s="1">
        <v>45851</v>
      </c>
      <c r="C64" t="s">
        <v>195</v>
      </c>
      <c r="D64" t="s">
        <v>16</v>
      </c>
      <c r="E64" t="s">
        <v>36</v>
      </c>
      <c r="F64" t="s">
        <v>32</v>
      </c>
      <c r="G64" t="s">
        <v>130</v>
      </c>
      <c r="H64">
        <v>2</v>
      </c>
      <c r="I64">
        <v>1399</v>
      </c>
      <c r="J64">
        <v>0.05</v>
      </c>
      <c r="K64">
        <v>2658.1</v>
      </c>
      <c r="L64">
        <v>664.53</v>
      </c>
      <c r="M64" t="s">
        <v>39</v>
      </c>
      <c r="N64" t="s">
        <v>21</v>
      </c>
    </row>
    <row r="65" spans="1:14">
      <c r="A65" t="s">
        <v>196</v>
      </c>
      <c r="B65" s="1">
        <v>45854</v>
      </c>
      <c r="C65" t="s">
        <v>197</v>
      </c>
      <c r="D65" t="s">
        <v>24</v>
      </c>
      <c r="E65" t="s">
        <v>17</v>
      </c>
      <c r="F65" t="s">
        <v>37</v>
      </c>
      <c r="G65" t="s">
        <v>103</v>
      </c>
      <c r="H65">
        <v>3</v>
      </c>
      <c r="I65">
        <v>749</v>
      </c>
      <c r="J65">
        <v>0.1</v>
      </c>
      <c r="K65">
        <v>2022.3</v>
      </c>
      <c r="L65">
        <v>667.36</v>
      </c>
      <c r="M65" t="s">
        <v>20</v>
      </c>
      <c r="N65" t="s">
        <v>21</v>
      </c>
    </row>
    <row r="66" spans="1:14">
      <c r="A66" t="s">
        <v>198</v>
      </c>
      <c r="B66" s="1">
        <v>45857</v>
      </c>
      <c r="C66" t="s">
        <v>199</v>
      </c>
      <c r="D66" t="s">
        <v>16</v>
      </c>
      <c r="E66" t="s">
        <v>25</v>
      </c>
      <c r="F66" t="s">
        <v>18</v>
      </c>
      <c r="G66" t="s">
        <v>106</v>
      </c>
      <c r="H66">
        <v>1</v>
      </c>
      <c r="I66">
        <v>1799</v>
      </c>
      <c r="J66">
        <v>0</v>
      </c>
      <c r="K66">
        <v>1799</v>
      </c>
      <c r="L66">
        <v>485.73</v>
      </c>
      <c r="M66" t="s">
        <v>28</v>
      </c>
      <c r="N66" t="s">
        <v>21</v>
      </c>
    </row>
    <row r="67" spans="1:14">
      <c r="A67" t="s">
        <v>200</v>
      </c>
      <c r="B67" s="1">
        <v>45860</v>
      </c>
      <c r="C67" t="s">
        <v>201</v>
      </c>
      <c r="D67" t="s">
        <v>24</v>
      </c>
      <c r="E67" t="s">
        <v>31</v>
      </c>
      <c r="F67" t="s">
        <v>26</v>
      </c>
      <c r="G67" t="s">
        <v>63</v>
      </c>
      <c r="H67">
        <v>3</v>
      </c>
      <c r="I67">
        <v>599</v>
      </c>
      <c r="J67">
        <v>0.05</v>
      </c>
      <c r="K67">
        <v>1707.15</v>
      </c>
      <c r="L67">
        <v>512.15</v>
      </c>
      <c r="M67" t="s">
        <v>44</v>
      </c>
      <c r="N67" t="s">
        <v>21</v>
      </c>
    </row>
    <row r="68" spans="1:14">
      <c r="A68" t="s">
        <v>202</v>
      </c>
      <c r="B68" s="1">
        <v>45863</v>
      </c>
      <c r="C68" t="s">
        <v>203</v>
      </c>
      <c r="D68" t="s">
        <v>16</v>
      </c>
      <c r="E68" t="s">
        <v>36</v>
      </c>
      <c r="F68" t="s">
        <v>42</v>
      </c>
      <c r="G68" t="s">
        <v>127</v>
      </c>
      <c r="H68">
        <v>1</v>
      </c>
      <c r="I68">
        <v>5999</v>
      </c>
      <c r="J68">
        <v>0.1</v>
      </c>
      <c r="K68">
        <v>5399.1</v>
      </c>
      <c r="L68">
        <v>971.84</v>
      </c>
      <c r="M68" t="s">
        <v>20</v>
      </c>
      <c r="N68" t="s">
        <v>21</v>
      </c>
    </row>
    <row r="69" spans="1:14">
      <c r="A69" t="s">
        <v>204</v>
      </c>
      <c r="B69" s="1">
        <v>45866</v>
      </c>
      <c r="C69" t="s">
        <v>205</v>
      </c>
      <c r="D69" t="s">
        <v>24</v>
      </c>
      <c r="E69" t="s">
        <v>17</v>
      </c>
      <c r="F69" t="s">
        <v>32</v>
      </c>
      <c r="G69" t="s">
        <v>115</v>
      </c>
      <c r="H69">
        <v>2</v>
      </c>
      <c r="I69">
        <v>999</v>
      </c>
      <c r="J69">
        <v>0.15</v>
      </c>
      <c r="K69">
        <v>1698.3</v>
      </c>
      <c r="L69">
        <v>543.46</v>
      </c>
      <c r="M69" t="s">
        <v>28</v>
      </c>
      <c r="N69" t="s">
        <v>21</v>
      </c>
    </row>
    <row r="70" spans="1:14">
      <c r="A70" t="s">
        <v>206</v>
      </c>
      <c r="B70" s="1">
        <v>45869</v>
      </c>
      <c r="C70" t="s">
        <v>207</v>
      </c>
      <c r="D70" t="s">
        <v>16</v>
      </c>
      <c r="E70" t="s">
        <v>25</v>
      </c>
      <c r="F70" t="s">
        <v>37</v>
      </c>
      <c r="G70" t="s">
        <v>118</v>
      </c>
      <c r="H70">
        <v>2</v>
      </c>
      <c r="I70">
        <v>899</v>
      </c>
      <c r="J70">
        <v>0.05</v>
      </c>
      <c r="K70">
        <v>1708.1</v>
      </c>
      <c r="L70">
        <v>546.59</v>
      </c>
      <c r="M70" t="s">
        <v>39</v>
      </c>
      <c r="N70" t="s">
        <v>21</v>
      </c>
    </row>
    <row r="71" spans="1:14">
      <c r="A71" t="s">
        <v>208</v>
      </c>
      <c r="B71" s="1">
        <v>45872</v>
      </c>
      <c r="C71" t="s">
        <v>209</v>
      </c>
      <c r="D71" t="s">
        <v>24</v>
      </c>
      <c r="E71" t="s">
        <v>31</v>
      </c>
      <c r="F71" t="s">
        <v>18</v>
      </c>
      <c r="G71" t="s">
        <v>121</v>
      </c>
      <c r="H71">
        <v>1</v>
      </c>
      <c r="I71">
        <v>4999</v>
      </c>
      <c r="J71">
        <v>0.1</v>
      </c>
      <c r="K71">
        <v>4499.1000000000004</v>
      </c>
      <c r="L71">
        <v>899.82</v>
      </c>
      <c r="M71" t="s">
        <v>20</v>
      </c>
      <c r="N71" t="s">
        <v>21</v>
      </c>
    </row>
    <row r="72" spans="1:14">
      <c r="A72" t="s">
        <v>210</v>
      </c>
      <c r="B72" s="1">
        <v>45875</v>
      </c>
      <c r="C72" t="s">
        <v>211</v>
      </c>
      <c r="D72" t="s">
        <v>16</v>
      </c>
      <c r="E72" t="s">
        <v>17</v>
      </c>
      <c r="F72" t="s">
        <v>26</v>
      </c>
      <c r="G72" t="s">
        <v>139</v>
      </c>
      <c r="H72">
        <v>2</v>
      </c>
      <c r="I72">
        <v>699</v>
      </c>
      <c r="J72">
        <v>0</v>
      </c>
      <c r="K72">
        <v>1398</v>
      </c>
      <c r="L72">
        <v>447.36</v>
      </c>
      <c r="M72" t="s">
        <v>44</v>
      </c>
      <c r="N72" t="s">
        <v>21</v>
      </c>
    </row>
    <row r="73" spans="1:14">
      <c r="A73" t="s">
        <v>212</v>
      </c>
      <c r="B73" s="1">
        <v>45878</v>
      </c>
      <c r="C73" t="s">
        <v>213</v>
      </c>
      <c r="D73" t="s">
        <v>24</v>
      </c>
      <c r="E73" t="s">
        <v>36</v>
      </c>
      <c r="F73" t="s">
        <v>42</v>
      </c>
      <c r="G73" t="s">
        <v>142</v>
      </c>
      <c r="H73">
        <v>4</v>
      </c>
      <c r="I73">
        <v>499</v>
      </c>
      <c r="J73">
        <v>0.05</v>
      </c>
      <c r="K73">
        <v>1896.2</v>
      </c>
      <c r="L73">
        <v>644.71</v>
      </c>
      <c r="M73" t="s">
        <v>28</v>
      </c>
      <c r="N73" t="s">
        <v>21</v>
      </c>
    </row>
    <row r="74" spans="1:14">
      <c r="A74" t="s">
        <v>214</v>
      </c>
      <c r="B74" s="1">
        <v>45881</v>
      </c>
      <c r="C74" t="s">
        <v>215</v>
      </c>
      <c r="D74" t="s">
        <v>16</v>
      </c>
      <c r="E74" t="s">
        <v>25</v>
      </c>
      <c r="F74" t="s">
        <v>32</v>
      </c>
      <c r="G74" t="s">
        <v>33</v>
      </c>
      <c r="H74">
        <v>2</v>
      </c>
      <c r="I74">
        <v>899</v>
      </c>
      <c r="J74">
        <v>0.2</v>
      </c>
      <c r="K74">
        <v>1438.4</v>
      </c>
      <c r="L74">
        <v>431.52</v>
      </c>
      <c r="M74" t="s">
        <v>20</v>
      </c>
      <c r="N74" t="s">
        <v>21</v>
      </c>
    </row>
    <row r="75" spans="1:14">
      <c r="A75" t="s">
        <v>216</v>
      </c>
      <c r="B75" s="1">
        <v>45884</v>
      </c>
      <c r="C75" t="s">
        <v>217</v>
      </c>
      <c r="D75" t="s">
        <v>24</v>
      </c>
      <c r="E75" t="s">
        <v>31</v>
      </c>
      <c r="F75" t="s">
        <v>37</v>
      </c>
      <c r="G75" t="s">
        <v>147</v>
      </c>
      <c r="H75">
        <v>1</v>
      </c>
      <c r="I75">
        <v>1299</v>
      </c>
      <c r="J75">
        <v>0.1</v>
      </c>
      <c r="K75">
        <v>1169.0999999999999</v>
      </c>
      <c r="L75">
        <v>350.73</v>
      </c>
      <c r="M75" t="s">
        <v>39</v>
      </c>
      <c r="N75" t="s">
        <v>54</v>
      </c>
    </row>
    <row r="76" spans="1:14">
      <c r="A76" t="s">
        <v>218</v>
      </c>
      <c r="B76" s="1">
        <v>45887</v>
      </c>
      <c r="C76" t="s">
        <v>219</v>
      </c>
      <c r="D76" t="s">
        <v>16</v>
      </c>
      <c r="E76" t="s">
        <v>17</v>
      </c>
      <c r="F76" t="s">
        <v>18</v>
      </c>
      <c r="G76" t="s">
        <v>136</v>
      </c>
      <c r="H76">
        <v>3</v>
      </c>
      <c r="I76">
        <v>999</v>
      </c>
      <c r="J76">
        <v>0.05</v>
      </c>
      <c r="K76">
        <v>2847.15</v>
      </c>
      <c r="L76">
        <v>797.2</v>
      </c>
      <c r="M76" t="s">
        <v>28</v>
      </c>
      <c r="N76" t="s">
        <v>21</v>
      </c>
    </row>
    <row r="77" spans="1:14">
      <c r="A77" t="s">
        <v>220</v>
      </c>
      <c r="B77" s="1">
        <v>45890</v>
      </c>
      <c r="C77" t="s">
        <v>221</v>
      </c>
      <c r="D77" t="s">
        <v>24</v>
      </c>
      <c r="E77" t="s">
        <v>36</v>
      </c>
      <c r="F77" t="s">
        <v>26</v>
      </c>
      <c r="G77" t="s">
        <v>50</v>
      </c>
      <c r="H77">
        <v>1</v>
      </c>
      <c r="I77">
        <v>1299</v>
      </c>
      <c r="J77">
        <v>0.1</v>
      </c>
      <c r="K77">
        <v>1169.0999999999999</v>
      </c>
      <c r="L77">
        <v>350.73</v>
      </c>
      <c r="M77" t="s">
        <v>20</v>
      </c>
      <c r="N77" t="s">
        <v>21</v>
      </c>
    </row>
    <row r="78" spans="1:14">
      <c r="A78" t="s">
        <v>222</v>
      </c>
      <c r="B78" s="1">
        <v>45893</v>
      </c>
      <c r="C78" t="s">
        <v>223</v>
      </c>
      <c r="D78" t="s">
        <v>16</v>
      </c>
      <c r="E78" t="s">
        <v>25</v>
      </c>
      <c r="F78" t="s">
        <v>42</v>
      </c>
      <c r="G78" t="s">
        <v>82</v>
      </c>
      <c r="H78">
        <v>1</v>
      </c>
      <c r="I78">
        <v>2799</v>
      </c>
      <c r="J78">
        <v>0.15</v>
      </c>
      <c r="K78">
        <v>2379.15</v>
      </c>
      <c r="L78">
        <v>666.16</v>
      </c>
      <c r="M78" t="s">
        <v>44</v>
      </c>
      <c r="N78" t="s">
        <v>21</v>
      </c>
    </row>
    <row r="79" spans="1:14">
      <c r="A79" t="s">
        <v>224</v>
      </c>
      <c r="B79" s="1">
        <v>45896</v>
      </c>
      <c r="C79" t="s">
        <v>225</v>
      </c>
      <c r="D79" t="s">
        <v>24</v>
      </c>
      <c r="E79" t="s">
        <v>31</v>
      </c>
      <c r="F79" t="s">
        <v>32</v>
      </c>
      <c r="G79" t="s">
        <v>69</v>
      </c>
      <c r="H79">
        <v>1</v>
      </c>
      <c r="I79">
        <v>2499</v>
      </c>
      <c r="J79">
        <v>0.05</v>
      </c>
      <c r="K79">
        <v>2374.0500000000002</v>
      </c>
      <c r="L79">
        <v>546.03</v>
      </c>
      <c r="M79" t="s">
        <v>28</v>
      </c>
      <c r="N79" t="s">
        <v>21</v>
      </c>
    </row>
    <row r="80" spans="1:14">
      <c r="A80" t="s">
        <v>226</v>
      </c>
      <c r="B80" s="1">
        <v>45899</v>
      </c>
      <c r="C80" t="s">
        <v>227</v>
      </c>
      <c r="D80" t="s">
        <v>16</v>
      </c>
      <c r="E80" t="s">
        <v>36</v>
      </c>
      <c r="F80" t="s">
        <v>37</v>
      </c>
      <c r="G80" t="s">
        <v>57</v>
      </c>
      <c r="H80">
        <v>3</v>
      </c>
      <c r="I80">
        <v>699</v>
      </c>
      <c r="J80">
        <v>0.05</v>
      </c>
      <c r="K80">
        <v>1992.15</v>
      </c>
      <c r="L80">
        <v>796.86</v>
      </c>
      <c r="M80" t="s">
        <v>20</v>
      </c>
      <c r="N80" t="s">
        <v>21</v>
      </c>
    </row>
    <row r="81" spans="1:14">
      <c r="A81" t="s">
        <v>228</v>
      </c>
      <c r="B81" s="1">
        <v>45902</v>
      </c>
      <c r="C81" t="s">
        <v>229</v>
      </c>
      <c r="D81" t="s">
        <v>24</v>
      </c>
      <c r="E81" t="s">
        <v>17</v>
      </c>
      <c r="F81" t="s">
        <v>18</v>
      </c>
      <c r="G81" t="s">
        <v>47</v>
      </c>
      <c r="H81">
        <v>1</v>
      </c>
      <c r="I81">
        <v>3499</v>
      </c>
      <c r="J81">
        <v>0.2</v>
      </c>
      <c r="K81">
        <v>2799.2</v>
      </c>
      <c r="L81">
        <v>503.86</v>
      </c>
      <c r="M81" t="s">
        <v>39</v>
      </c>
      <c r="N81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selection activeCell="G16" sqref="G16"/>
    </sheetView>
  </sheetViews>
  <sheetFormatPr defaultRowHeight="14.4"/>
  <cols>
    <col min="1" max="1" width="17.88671875" bestFit="1" customWidth="1"/>
    <col min="2" max="2" width="15.5546875" bestFit="1" customWidth="1"/>
    <col min="4" max="4" width="15.77734375" bestFit="1" customWidth="1"/>
    <col min="5" max="5" width="11.44140625" bestFit="1" customWidth="1"/>
  </cols>
  <sheetData>
    <row r="1" spans="1:5" ht="23.4">
      <c r="A1" s="3" t="s">
        <v>243</v>
      </c>
    </row>
    <row r="3" spans="1:5">
      <c r="A3" t="s">
        <v>230</v>
      </c>
      <c r="B3">
        <f>SUM(Raw_data!K2:K81)</f>
        <v>193266.75</v>
      </c>
    </row>
    <row r="4" spans="1:5">
      <c r="A4" t="s">
        <v>233</v>
      </c>
      <c r="B4">
        <f>SUM(Raw_data!L2:L81)</f>
        <v>52027.710000000014</v>
      </c>
    </row>
    <row r="5" spans="1:5">
      <c r="A5" t="s">
        <v>231</v>
      </c>
      <c r="B5">
        <f>SUM(Raw_data!H2:H81)</f>
        <v>132</v>
      </c>
    </row>
    <row r="6" spans="1:5">
      <c r="A6" t="s">
        <v>232</v>
      </c>
      <c r="B6">
        <f>AVERAGE(Raw_data!K2:K81)</f>
        <v>2415.8343749999999</v>
      </c>
    </row>
    <row r="9" spans="1:5">
      <c r="A9" s="2" t="s">
        <v>5</v>
      </c>
      <c r="B9" s="4" t="s">
        <v>230</v>
      </c>
      <c r="D9" s="2" t="s">
        <v>5</v>
      </c>
      <c r="E9" s="2" t="s">
        <v>234</v>
      </c>
    </row>
    <row r="10" spans="1:5">
      <c r="A10" t="s">
        <v>18</v>
      </c>
      <c r="B10" s="13">
        <f>SUMIF(Raw_data!F2:F81,A10,Raw_data!K2:K81)</f>
        <v>50437.15</v>
      </c>
      <c r="D10" t="s">
        <v>18</v>
      </c>
      <c r="E10">
        <f>SUMIF(Raw_data!F2:F81,D10,Raw_data!L2:L81)</f>
        <v>11737.720000000001</v>
      </c>
    </row>
    <row r="11" spans="1:5">
      <c r="A11" t="s">
        <v>26</v>
      </c>
      <c r="B11" s="13">
        <f>SUMIF(Raw_data!F3:F82,A11,Raw_data!K3:K82)</f>
        <v>38812.449999999997</v>
      </c>
      <c r="D11" t="s">
        <v>26</v>
      </c>
      <c r="E11">
        <f>SUMIF(Raw_data!F3:F82,D11,Raw_data!L3:L82)</f>
        <v>10466.019999999999</v>
      </c>
    </row>
    <row r="12" spans="1:5">
      <c r="A12" t="s">
        <v>32</v>
      </c>
      <c r="B12" s="13">
        <f>SUMIF(Raw_data!F4:F83,A12,Raw_data!K4:K83)</f>
        <v>34430.549999999996</v>
      </c>
      <c r="D12" t="s">
        <v>32</v>
      </c>
      <c r="E12">
        <f>SUMIF(Raw_data!F4:F83,D12,Raw_data!L4:L83)</f>
        <v>9243.3799999999992</v>
      </c>
    </row>
    <row r="13" spans="1:5">
      <c r="A13" t="s">
        <v>37</v>
      </c>
      <c r="B13" s="13">
        <f>SUMIF(Raw_data!F5:F84,A13,Raw_data!K5:K84)</f>
        <v>29953.299999999996</v>
      </c>
      <c r="D13" t="s">
        <v>37</v>
      </c>
      <c r="E13">
        <f>SUMIF(Raw_data!F5:F84,D13,Raw_data!L5:L84)</f>
        <v>9947.51</v>
      </c>
    </row>
    <row r="14" spans="1:5">
      <c r="A14" t="s">
        <v>42</v>
      </c>
      <c r="B14" s="13">
        <f>SUMIF(Raw_data!F6:F85,A14,Raw_data!K6:K85)</f>
        <v>39633.299999999996</v>
      </c>
      <c r="D14" t="s">
        <v>42</v>
      </c>
      <c r="E14">
        <f>SUMIF(Raw_data!F6:F85,D14,Raw_data!L6:L85)</f>
        <v>10633.079999999998</v>
      </c>
    </row>
    <row r="17" spans="1:5">
      <c r="A17" s="2" t="s">
        <v>4</v>
      </c>
      <c r="B17" s="2" t="s">
        <v>230</v>
      </c>
      <c r="D17" s="2" t="s">
        <v>235</v>
      </c>
      <c r="E17" s="2" t="s">
        <v>230</v>
      </c>
    </row>
    <row r="18" spans="1:5">
      <c r="A18" t="s">
        <v>17</v>
      </c>
      <c r="B18">
        <f>SUMIF(Raw_data!E2:E81,A18,Raw_data!K2:K81)</f>
        <v>51658.3</v>
      </c>
      <c r="D18" t="s">
        <v>16</v>
      </c>
      <c r="E18">
        <f>SUMIF(Raw_data!D2:D81,D18,Raw_data!K2:K81)</f>
        <v>92860.349999999991</v>
      </c>
    </row>
    <row r="19" spans="1:5">
      <c r="A19" t="s">
        <v>31</v>
      </c>
      <c r="B19">
        <f>SUMIF(Raw_data!E3:E82,A19,Raw_data!K3:K82)</f>
        <v>51872</v>
      </c>
      <c r="D19" t="s">
        <v>24</v>
      </c>
      <c r="E19">
        <f>SUMIF(Raw_data!D3:D82,D19,Raw_data!K3:K82)</f>
        <v>100406.40000000004</v>
      </c>
    </row>
    <row r="20" spans="1:5">
      <c r="A20" t="s">
        <v>36</v>
      </c>
      <c r="B20">
        <f>SUMIF(Raw_data!E4:E83,A20,Raw_data!K4:K83)</f>
        <v>42180.95</v>
      </c>
    </row>
    <row r="21" spans="1:5">
      <c r="A21" t="s">
        <v>25</v>
      </c>
      <c r="B21">
        <f>SUMIF(Raw_data!E5:E84,A21,Raw_data!K5:K84)</f>
        <v>45158.5</v>
      </c>
    </row>
    <row r="24" spans="1:5">
      <c r="A24" s="2" t="s">
        <v>236</v>
      </c>
      <c r="B24" s="2" t="s">
        <v>237</v>
      </c>
      <c r="D24" s="2" t="s">
        <v>238</v>
      </c>
      <c r="E24" s="2" t="s">
        <v>239</v>
      </c>
    </row>
    <row r="25" spans="1:5">
      <c r="A25" t="s">
        <v>21</v>
      </c>
      <c r="B25">
        <f>COUNTIF(Raw_data!N2:N81,A25)</f>
        <v>74</v>
      </c>
      <c r="D25" t="s">
        <v>20</v>
      </c>
      <c r="E25">
        <f>COUNTIF(Raw_data!M2:M81,D25)</f>
        <v>28</v>
      </c>
    </row>
    <row r="26" spans="1:5">
      <c r="A26" t="s">
        <v>54</v>
      </c>
      <c r="B26">
        <f>COUNTIF(Raw_data!N3:N82,A26)</f>
        <v>4</v>
      </c>
      <c r="D26" t="s">
        <v>28</v>
      </c>
      <c r="E26">
        <f>COUNTIF(Raw_data!M3:M82,D26)</f>
        <v>27</v>
      </c>
    </row>
    <row r="27" spans="1:5">
      <c r="A27" t="s">
        <v>76</v>
      </c>
      <c r="B27">
        <f>COUNTIF(Raw_data!N4:N83,A27)</f>
        <v>2</v>
      </c>
      <c r="D27" t="s">
        <v>44</v>
      </c>
      <c r="E27">
        <f>COUNTIF(Raw_data!M4:M83,D27)</f>
        <v>12</v>
      </c>
    </row>
    <row r="28" spans="1:5">
      <c r="D28" t="s">
        <v>39</v>
      </c>
      <c r="E28">
        <f>COUNTIF(Raw_data!M5:M84,D28)</f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showGridLines="0" workbookViewId="0">
      <selection activeCell="H44" sqref="H44"/>
    </sheetView>
  </sheetViews>
  <sheetFormatPr defaultRowHeight="14.4"/>
  <cols>
    <col min="1" max="1" width="36.88671875" bestFit="1" customWidth="1"/>
    <col min="4" max="4" width="13.6640625" bestFit="1" customWidth="1"/>
    <col min="10" max="10" width="12.21875" bestFit="1" customWidth="1"/>
  </cols>
  <sheetData>
    <row r="1" spans="1:11" ht="25.8">
      <c r="A1" s="6" t="s">
        <v>242</v>
      </c>
    </row>
    <row r="3" spans="1:11" ht="18">
      <c r="A3" s="8" t="s">
        <v>230</v>
      </c>
      <c r="D3" s="8" t="s">
        <v>234</v>
      </c>
      <c r="G3" s="10" t="s">
        <v>241</v>
      </c>
      <c r="H3" s="9"/>
      <c r="J3" s="11" t="s">
        <v>240</v>
      </c>
      <c r="K3" s="5"/>
    </row>
    <row r="4" spans="1:11" ht="18">
      <c r="A4" s="7">
        <f>Analysis!B3</f>
        <v>193266.75</v>
      </c>
      <c r="D4" s="7">
        <f>Analysis!B4</f>
        <v>52027.710000000014</v>
      </c>
      <c r="G4" s="12">
        <f>Analysis!B5</f>
        <v>132</v>
      </c>
      <c r="J4" s="7">
        <f>Analysis!B6</f>
        <v>2415.8343749999999</v>
      </c>
    </row>
    <row r="6" spans="1:11">
      <c r="A6" s="5"/>
    </row>
    <row r="7" spans="1:11">
      <c r="A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Sharma</dc:creator>
  <cp:lastModifiedBy>Suhani Sharma</cp:lastModifiedBy>
  <dcterms:created xsi:type="dcterms:W3CDTF">2026-09-02T12:00:46Z</dcterms:created>
  <dcterms:modified xsi:type="dcterms:W3CDTF">2026-09-02T12:01:43Z</dcterms:modified>
</cp:coreProperties>
</file>